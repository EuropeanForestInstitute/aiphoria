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B895961-C183-4953-9974-B3BCE6EC01E5}" xr6:coauthVersionLast="47" xr6:coauthVersionMax="47" xr10:uidLastSave="{00000000-0000-0000-0000-000000000000}"/>
  <bookViews>
    <workbookView xWindow="5355" yWindow="115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F6" i="1" s="1"/>
  <c r="H6" i="1"/>
  <c r="C6" i="1"/>
  <c r="D7" i="6"/>
  <c r="D6" i="6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<sst xmlns="http://schemas.openxmlformats.org/spreadsheetml/2006/main" count="397" uniqueCount="214">
  <si>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</si>
  <si>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</si>
  <si>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</si>
  <si>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</si>
  <si>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</si>
  <si>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</si>
  <si>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</si>
  <si>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</si>
  <si>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</si>
  <si>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</si>
  <si>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</si>
  <si>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</si>
  <si>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</si>
  <si>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</si>
  <si>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</si>
  <si>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</si>
  <si>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</si>
  <si>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</si>
  <si>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</si>
  <si>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</si>
  <si>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</si>
  <si>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</si>
  <si>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</si>
  <si>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</si>
  <si>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</si>
  <si>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</si>
  <si>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</si>
  <si>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</si>
  <si>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</si>
  <si>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</si>
  <si>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</si>
  <si>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</si>
  <si>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</si>
  <si>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</si>
  <si>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</si>
  <si>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</si>
  <si>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</si>
  <si>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</si>
  <si>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</si>
  <si>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</si>
  <si>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</si>
  <si>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</si>
  <si>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</si>
  <si>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</si>
  <si>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</si>
  <si>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</si>
  <si>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</si>
  <si>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</si>
  <si>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</si>
  <si>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</si>
  <si>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</si>
  <si>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</si>
  <si>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</si>
  <si>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</si>
  <si>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</si>
  <si>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</si>
  <si>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</si>
  <si>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</si>
  <si>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</si>
  <si>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</si>
  <si>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</si>
  <si>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</si>
  <si>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</si>
  <si>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</si>
  <si>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</si>
  <si>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</si>
  <si>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</si>
  <si>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</si>
  <si>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</si>
  <si>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</si>
  <si>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</si>
  <si>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</si>
  <si>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</si>
  <si>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</si>
  <si>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</si>
  <si>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</si>
  <si>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</si>
  <si>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</si>
  <si>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</si>
  <si>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</si>
  <si>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</si>
  <si>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</si>
  <si>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</si>
  <si>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</si>
  <si>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</si>
  <si>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</si>
  <si>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</si>
  <si>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</si>
  <si>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</si>
  <si>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</si>
  <si>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</si>
  <si>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</si>
  <si>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</si>
  <si>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</si>
  <si>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</si>
  <si>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</si>
  <si>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</si>
  <si>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</si>
  <si>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</si>
  <si>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</si>
  <si>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</si>
  <si>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</si>
  <si>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</si>
  <si>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</si>
  <si>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</si>
  <si>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</si>
  <si>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</si>
  <si>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</si>
  <si>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</si>
  <si>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</si>
  <si>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</si>
  <si>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</si>
  <si>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</si>
  <si>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</si>
  <si>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</si>
  <si>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</si>
  <si>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</si>
  <si>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</si>
  <si>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</si>
  <si>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</si>
  <si>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</si>
  <si>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</si>
  <si>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</si>
  <si>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</si>
  <si>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</si>
  <si>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</si>
  <si>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</si>
  <si>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</si>
  <si>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</si>
  <si>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</si>
  <si>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</si>
  <si>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</si>
  <si>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</si>
  <si>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</si>
  <si>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</si>
  <si>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</si>
  <si>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</si>
  <si>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</si>
  <si>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</si>
  <si>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</si>
  <si>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</si>
  <si>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</si>
  <si>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</si>
  <si>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</si>
  <si>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</si>
  <si>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</si>
  <si>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</si>
  <si>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</si>
  <si>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</si>
  <si>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</si>
  <si>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</si>
  <si>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</si>
  <si>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</si>
  <si>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</si>
  <si>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</si>
  <si>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</si>
  <si>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</si>
  <si>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</si>
  <si>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</si>
  <si>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</si>
  <si>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</si>
  <si>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</si>
  <si>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</si>
  <si>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</si>
  <si>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</si>
  <si>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</si>
  <si>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</si>
  <si>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</si>
  <si>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</si>
  <si>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</si>
  <si>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</si>
  <si>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</si>
  <si>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</si>
  <si>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</si>
  <si>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</si>
  <si>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</si>
  <si>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</si>
  <si>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</si>
  <si>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</si>
  <si>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</si>
  <si>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</si>
  <si>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</si>
  <si>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</si>
  <si>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</si>
  <si>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</si>
  <si>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</si>
  <si>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</si>
  <si>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</si>
  <si>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</si>
  <si>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</si>
  <si>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</si>
  <si>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</si>
  <si>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</si>
  <si>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</si>
  <si>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</si>
  <si>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</si>
  <si>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</si>
  <si>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</si>
  <si>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</si>
  <si>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</si>
  <si>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</si>
  <si>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Test values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</si>
  <si>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</si>
  <si>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</si>
  <si>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</si>
  <si>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</si>
  <si>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</si>
  <si>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</si>
  <si>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</si>
  <si>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</si>
  <si>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</si>
  <si>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</si>
  <si>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</si>
  <si>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Change - over 100%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</si>
</sst>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5</xdr:col>
      <xdr:colOff>353260</xdr:colOff>
      <xdr:row>20</xdr:row>
      <xdr:rowOff>152767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31283F-1431-41BD-A0E5-380A60A91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1895475"/>
          <a:ext cx="5982535" cy="26292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1" workbookViewId="0">
      <selection activeCell="C31" sqref="C31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C6" sqref="C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30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200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200</v>
      </c>
    </row>
    <row r="6" spans="1:18" ht="15.75" x14ac:dyDescent="0.3">
      <c r="A6">
        <v>2</v>
      </c>
      <c r="B6" t="s">
        <v>205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205</v>
      </c>
    </row>
    <row r="7" spans="1:18" ht="15.75" x14ac:dyDescent="0.3">
      <c r="A7">
        <v>3</v>
      </c>
      <c r="B7" t="s">
        <v>206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206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G3" zoomScaleNormal="100" workbookViewId="0">
      <selection activeCell="G6" sqref="G6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201</v>
      </c>
      <c r="P4" s="13"/>
    </row>
    <row r="5" spans="1:16" x14ac:dyDescent="0.25">
      <c r="B5" t="s">
        <v>200</v>
      </c>
      <c r="C5" t="str">
        <f>+_xlfn.XLOOKUP(H5,Processes!$D$4:$D$39,Processes!$E$4:$E$39)</f>
        <v>Source</v>
      </c>
      <c r="D5" t="s">
        <v>25</v>
      </c>
      <c r="E5" t="s">
        <v>205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Sink1:FI</v>
      </c>
      <c r="J5">
        <v>50</v>
      </c>
      <c r="K5" t="s">
        <v>9</v>
      </c>
      <c r="L5">
        <v>2000</v>
      </c>
      <c r="N5" t="s">
        <v>201</v>
      </c>
      <c r="P5" s="13"/>
    </row>
    <row r="6" spans="1:16" x14ac:dyDescent="0.25">
      <c r="B6" t="s">
        <v>200</v>
      </c>
      <c r="C6" t="str">
        <f>+_xlfn.XLOOKUP(H6,Processes!$D$4:$D$39,Processes!$E$4:$E$39)</f>
        <v>Source</v>
      </c>
      <c r="D6" t="s">
        <v>25</v>
      </c>
      <c r="E6" t="s">
        <v>206</v>
      </c>
      <c r="F6" t="str">
        <f>+_xlfn.XLOOKUP(I6,Processes!$D$4:$D$39,Processes!$E$4:$E$39)</f>
        <v>Source</v>
      </c>
      <c r="G6" t="s">
        <v>25</v>
      </c>
      <c r="H6" s="3" t="str">
        <f t="shared" ref="H6" si="2">_xlfn.CONCAT(B6,":",D6)</f>
        <v>Middle:FI</v>
      </c>
      <c r="I6" s="3" t="str">
        <f t="shared" ref="I6" si="3">_xlfn.CONCAT(E6,":",G6)</f>
        <v>Sink2:FI</v>
      </c>
      <c r="J6">
        <v>50</v>
      </c>
      <c r="K6" t="s">
        <v>9</v>
      </c>
      <c r="L6">
        <v>2000</v>
      </c>
      <c r="N6" t="s">
        <v>201</v>
      </c>
      <c r="P6" s="13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30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8"/>
  <sheetViews>
    <sheetView tabSelected="1" topLeftCell="D1" workbookViewId="0">
      <selection activeCell="D1" sqref="D1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212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211</v>
      </c>
      <c r="B2" t="s">
        <v>203</v>
      </c>
      <c r="C2" s="3" t="s">
        <v>202</v>
      </c>
      <c r="D2" s="3" t="s">
        <v>207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0</v>
      </c>
    </row>
    <row r="3" spans="1:13" x14ac:dyDescent="0.25">
      <c r="A3" t="s">
        <v>211</v>
      </c>
      <c r="B3" t="s">
        <v>204</v>
      </c>
      <c r="C3" s="3" t="s">
        <v>202</v>
      </c>
      <c r="D3" s="3" t="s">
        <v>207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4" t="b">
        <v>0</v>
      </c>
    </row>
    <row r="4" spans="1:13" x14ac:dyDescent="0.25">
      <c r="A4" t="s">
        <v>211</v>
      </c>
      <c r="B4" t="s">
        <v>209</v>
      </c>
      <c r="C4" s="3" t="s">
        <v>202</v>
      </c>
      <c r="D4" s="3" t="s">
        <v>207</v>
      </c>
      <c r="E4">
        <v>0</v>
      </c>
      <c r="G4" t="s">
        <v>9</v>
      </c>
      <c r="H4">
        <v>2005</v>
      </c>
      <c r="I4">
        <v>2010</v>
      </c>
      <c r="J4" t="s">
        <v>99</v>
      </c>
      <c r="K4" s="24" t="b">
        <v>1</v>
      </c>
      <c r="L4" t="s">
        <v>208</v>
      </c>
    </row>
    <row r="5" spans="1:13" x14ac:dyDescent="0.25">
      <c r="A5" t="s">
        <v>211</v>
      </c>
      <c r="B5" t="s">
        <v>210</v>
      </c>
      <c r="C5" s="3" t="s">
        <v>202</v>
      </c>
      <c r="D5" s="3" t="s">
        <v>207</v>
      </c>
      <c r="E5">
        <v>50</v>
      </c>
      <c r="G5" t="s">
        <v>9</v>
      </c>
      <c r="H5">
        <v>2005</v>
      </c>
      <c r="I5">
        <v>2010</v>
      </c>
      <c r="J5" t="s">
        <v>99</v>
      </c>
      <c r="K5" s="24" t="b">
        <v>1</v>
      </c>
      <c r="L5" t="s">
        <v>208</v>
      </c>
    </row>
    <row r="6" spans="1:13" x14ac:dyDescent="0.25">
      <c r="A6" t="s">
        <v>211</v>
      </c>
      <c r="B6" t="s">
        <v>213</v>
      </c>
      <c r="C6" s="3" t="s">
        <v>202</v>
      </c>
      <c r="D6" s="3" t="s">
        <v>207</v>
      </c>
      <c r="F6">
        <v>100</v>
      </c>
      <c r="G6" t="s">
        <v>9</v>
      </c>
      <c r="H6">
        <v>2005</v>
      </c>
      <c r="I6">
        <v>2010</v>
      </c>
      <c r="J6" t="s">
        <v>99</v>
      </c>
      <c r="K6" s="24" t="b">
        <v>0</v>
      </c>
    </row>
    <row r="7" spans="1:13" x14ac:dyDescent="0.25">
      <c r="A7" t="s">
        <v>211</v>
      </c>
      <c r="B7" t="s">
        <v>213</v>
      </c>
      <c r="C7" s="3" t="s">
        <v>202</v>
      </c>
      <c r="D7" s="3" t="s">
        <v>207</v>
      </c>
      <c r="F7">
        <v>60</v>
      </c>
      <c r="G7" t="s">
        <v>9</v>
      </c>
      <c r="H7">
        <v>2005</v>
      </c>
      <c r="I7">
        <v>2010</v>
      </c>
      <c r="J7" t="s">
        <v>99</v>
      </c>
      <c r="K7" s="24" t="b">
        <v>1</v>
      </c>
      <c r="L7" t="s">
        <v>208</v>
      </c>
    </row>
    <row r="8" spans="1:13" x14ac:dyDescent="0.25">
      <c r="A8" t="s">
        <v>211</v>
      </c>
      <c r="B8" t="s">
        <v>213</v>
      </c>
      <c r="C8" s="3" t="s">
        <v>202</v>
      </c>
      <c r="D8" s="3" t="s">
        <v>208</v>
      </c>
      <c r="F8">
        <v>60</v>
      </c>
      <c r="G8" t="s">
        <v>9</v>
      </c>
      <c r="H8">
        <v>2005</v>
      </c>
      <c r="I8">
        <v>2010</v>
      </c>
      <c r="J8" t="s">
        <v>99</v>
      </c>
      <c r="K8" s="24" t="b">
        <v>1</v>
      </c>
      <c r="L8" t="s">
        <v>207</v>
      </c>
    </row>
  </sheetData>
  <conditionalFormatting sqref="K2:K8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:K8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K9:K1048576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