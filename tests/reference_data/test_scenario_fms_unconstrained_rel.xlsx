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490560E6-EDDB-48F5-895E-C12594E86351}" xr6:coauthVersionLast="47" xr6:coauthVersionMax="47" xr10:uidLastSave="{00000000-0000-0000-0000-000000000000}"/>
  <bookViews>
    <workbookView xWindow="-120" yWindow="-120" windowWidth="29040" windowHeight="15720" activeTab="2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Flows!$A$3:$H$5</definedName>
    <definedName name="_xlnm._FilterDatabase" localSheetId="1" hidden="1">Processes!$D$3:$R$3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6" l="1"/>
  <c r="D6" i="6"/>
  <c r="D5" i="6"/>
  <c r="D4" i="6"/>
</calcChain>
</file>

<file path=xl/sharedStrings.xml><?xml version="1.0" encoding="utf-8"?>
<sst xmlns="http://schemas.openxmlformats.org/spreadsheetml/2006/main" count="375" uniqueCount="210">
  <si>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</si>
  <si>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</si>
  <si>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</si>
  <si>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</si>
  <si>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</si>
  <si>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</si>
  <si>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</si>
  <si>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</si>
  <si>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</si>
  <si>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</si>
  <si>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 xml:space="preserve"> kg/m3</t>
  </si>
  <si>
    <t>Density</t>
  </si>
  <si>
    <t>Modelling status</t>
  </si>
  <si>
    <t>Comment</t>
  </si>
  <si>
    <t>Source</t>
  </si>
  <si>
    <t>First</t>
  </si>
  <si>
    <t>Second</t>
  </si>
  <si>
    <t>RoW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</si>
  <si>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</si>
  <si>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</si>
  <si>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</si>
  <si>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</si>
  <si>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</si>
  <si>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</si>
  <si>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</si>
  <si>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</si>
  <si>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EoL</t>
  </si>
  <si>
    <t>by_prod</t>
  </si>
  <si>
    <t>VAM</t>
  </si>
  <si>
    <t>Normal</t>
  </si>
  <si>
    <t>Process ID</t>
  </si>
  <si>
    <t>Mm3 SWE</t>
  </si>
  <si>
    <t>a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</si>
  <si>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</si>
  <si>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</si>
  <si>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</si>
  <si>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</si>
  <si>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</si>
  <si>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</si>
  <si>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</si>
  <si>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</si>
  <si>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</si>
  <si>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</si>
  <si>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</si>
  <si>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</si>
  <si>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</si>
  <si>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</si>
  <si>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</si>
  <si>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</si>
  <si>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</si>
  <si>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</si>
  <si>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</si>
  <si>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</si>
  <si>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</si>
  <si>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</si>
  <si>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</si>
  <si>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</si>
  <si>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</si>
  <si>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</si>
  <si>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</si>
  <si>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</si>
  <si>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</si>
  <si>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</si>
  <si>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</si>
  <si>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</si>
  <si>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</si>
  <si>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</si>
  <si>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</si>
  <si>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</si>
  <si>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</si>
  <si>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</si>
  <si>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</si>
  <si>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</si>
  <si>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</si>
  <si>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</si>
  <si>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</si>
  <si>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</si>
  <si>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</si>
  <si>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</si>
  <si>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</si>
  <si>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</si>
  <si>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</si>
  <si>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</si>
  <si>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</si>
  <si>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</si>
  <si>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</si>
  <si>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</si>
  <si>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</si>
  <si>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</si>
  <si>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</si>
  <si>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</si>
  <si>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</si>
  <si>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</si>
  <si>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</si>
  <si>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</si>
  <si>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</si>
  <si>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</si>
  <si>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</si>
  <si>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</si>
  <si>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</si>
  <si>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</si>
  <si>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</si>
  <si>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</si>
  <si>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</si>
  <si>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</si>
  <si>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</si>
  <si>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</si>
  <si>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</si>
  <si>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</si>
  <si>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</si>
  <si>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</si>
  <si>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</si>
  <si>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</si>
  <si>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</si>
  <si>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</si>
  <si>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</si>
  <si>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</si>
  <si>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</si>
  <si>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</si>
  <si>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</si>
  <si>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</si>
  <si>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</si>
  <si>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</si>
  <si>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</si>
  <si>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</si>
  <si>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Lifetime source</t>
  </si>
  <si>
    <t>Distribution parameters</t>
  </si>
  <si>
    <t>Wood content</t>
  </si>
  <si>
    <t>Wood content source</t>
  </si>
  <si>
    <t>Density source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</si>
  <si>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</si>
  <si>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</si>
  <si>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</si>
  <si>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</si>
  <si>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ID</t>
  </si>
  <si>
    <t>Target ID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</si>
  <si>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</si>
  <si>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</si>
  <si>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</si>
  <si>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</si>
  <si>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</si>
  <si>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</si>
  <si>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</si>
  <si>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</si>
  <si>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</si>
  <si>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</si>
  <si>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</si>
  <si>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</si>
  <si>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</si>
  <si>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</si>
  <si>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</si>
  <si>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</si>
  <si>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</si>
  <si>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</si>
  <si>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</si>
  <si>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</si>
  <si>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</si>
  <si>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</si>
  <si>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</si>
  <si>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</si>
  <si>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</si>
  <si>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</si>
  <si>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</si>
  <si>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</si>
  <si>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</si>
  <si>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</si>
  <si>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</si>
  <si>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</si>
  <si>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</si>
  <si>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</si>
  <si>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</si>
  <si>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</si>
  <si>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</si>
  <si>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</si>
  <si>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</si>
  <si>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</si>
  <si>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</si>
  <si>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</si>
  <si>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</si>
  <si>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</si>
  <si>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</si>
  <si>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</si>
  <si>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</si>
  <si>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</si>
  <si>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</si>
  <si>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</si>
  <si>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</si>
  <si>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</si>
  <si>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</si>
  <si>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</si>
  <si>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</si>
  <si>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</si>
  <si>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</si>
  <si>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</si>
  <si>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Middle</t>
  </si>
  <si>
    <t>Middle:FI</t>
  </si>
  <si>
    <t>No change - siblings</t>
  </si>
  <si>
    <t>Change - siblings</t>
  </si>
  <si>
    <t>Sink1</t>
  </si>
  <si>
    <t>Sink2</t>
  </si>
  <si>
    <t>Sink1:FI</t>
  </si>
  <si>
    <t>Sink2:FI</t>
  </si>
  <si>
    <t>No change - target opposite flows</t>
  </si>
  <si>
    <t>Change - target opposite flows</t>
  </si>
  <si>
    <t>Success</t>
  </si>
  <si>
    <t>Comment (expected result)</t>
  </si>
  <si>
    <t>Change - over 100% share</t>
  </si>
  <si>
    <t>version</t>
  </si>
  <si>
    <t>Scenario file format version</t>
  </si>
  <si>
    <t>Source:FI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</si>
</sst>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C4845"/>
      <name val="Open Sans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2" borderId="0" xfId="0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6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7</xdr:row>
      <xdr:rowOff>0</xdr:rowOff>
    </xdr:from>
    <xdr:to>
      <xdr:col>6</xdr:col>
      <xdr:colOff>477085</xdr:colOff>
      <xdr:row>20</xdr:row>
      <xdr:rowOff>152767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431283F-1431-41BD-A0E5-380A60A91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71600" y="1895475"/>
          <a:ext cx="5982535" cy="262926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2"/>
  <sheetViews>
    <sheetView workbookViewId="0">
      <selection activeCell="B11" sqref="B11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6" t="s">
        <v>41</v>
      </c>
    </row>
    <row r="3" spans="2:5" x14ac:dyDescent="0.25">
      <c r="B3" s="18" t="s">
        <v>60</v>
      </c>
    </row>
    <row r="4" spans="2:5" x14ac:dyDescent="0.25">
      <c r="B4" t="s">
        <v>59</v>
      </c>
      <c r="C4" s="18"/>
      <c r="D4" s="18"/>
      <c r="E4" s="18"/>
    </row>
    <row r="6" spans="2:5" x14ac:dyDescent="0.25">
      <c r="B6" s="6" t="s">
        <v>42</v>
      </c>
      <c r="C6" s="6" t="s">
        <v>37</v>
      </c>
      <c r="D6" s="6" t="s">
        <v>61</v>
      </c>
      <c r="E6" s="6" t="s">
        <v>3</v>
      </c>
    </row>
    <row r="7" spans="2:5" x14ac:dyDescent="0.25">
      <c r="B7" t="s">
        <v>207</v>
      </c>
      <c r="C7" s="19">
        <v>2</v>
      </c>
      <c r="D7" s="20" t="s">
        <v>71</v>
      </c>
      <c r="E7" t="s">
        <v>208</v>
      </c>
    </row>
    <row r="8" spans="2:5" x14ac:dyDescent="0.25">
      <c r="B8" t="s">
        <v>43</v>
      </c>
      <c r="C8" s="20" t="s">
        <v>1</v>
      </c>
      <c r="D8" s="20" t="s">
        <v>71</v>
      </c>
      <c r="E8" t="s">
        <v>192</v>
      </c>
    </row>
    <row r="9" spans="2:5" x14ac:dyDescent="0.25">
      <c r="B9" t="s">
        <v>119</v>
      </c>
      <c r="C9" t="s">
        <v>144</v>
      </c>
      <c r="D9" t="s">
        <v>104</v>
      </c>
      <c r="E9" t="s">
        <v>121</v>
      </c>
    </row>
    <row r="10" spans="2:5" x14ac:dyDescent="0.25">
      <c r="B10" t="s">
        <v>44</v>
      </c>
      <c r="C10" s="19">
        <v>2</v>
      </c>
      <c r="D10" s="19" t="s">
        <v>69</v>
      </c>
      <c r="E10" t="s">
        <v>47</v>
      </c>
    </row>
    <row r="11" spans="2:5" x14ac:dyDescent="0.25">
      <c r="B11" t="s">
        <v>45</v>
      </c>
      <c r="C11" s="20" t="s">
        <v>2</v>
      </c>
      <c r="D11" s="20" t="s">
        <v>70</v>
      </c>
      <c r="E11" t="s">
        <v>191</v>
      </c>
    </row>
    <row r="12" spans="2:5" x14ac:dyDescent="0.25">
      <c r="B12" t="s">
        <v>120</v>
      </c>
      <c r="C12" t="s">
        <v>144</v>
      </c>
      <c r="D12" t="s">
        <v>104</v>
      </c>
      <c r="E12" t="s">
        <v>122</v>
      </c>
    </row>
    <row r="13" spans="2:5" x14ac:dyDescent="0.25">
      <c r="B13" t="s">
        <v>46</v>
      </c>
      <c r="C13" s="19">
        <v>2</v>
      </c>
      <c r="D13" s="19" t="s">
        <v>69</v>
      </c>
      <c r="E13" t="s">
        <v>47</v>
      </c>
    </row>
    <row r="14" spans="2:5" x14ac:dyDescent="0.25">
      <c r="B14" t="s">
        <v>48</v>
      </c>
      <c r="C14" s="19">
        <v>2000</v>
      </c>
      <c r="D14" s="19" t="s">
        <v>69</v>
      </c>
      <c r="E14" t="s">
        <v>49</v>
      </c>
    </row>
    <row r="15" spans="2:5" x14ac:dyDescent="0.25">
      <c r="B15" t="s">
        <v>50</v>
      </c>
      <c r="C15" s="19">
        <v>2010</v>
      </c>
      <c r="D15" s="19" t="s">
        <v>69</v>
      </c>
      <c r="E15" t="s">
        <v>58</v>
      </c>
    </row>
    <row r="16" spans="2:5" x14ac:dyDescent="0.25">
      <c r="B16" t="s">
        <v>51</v>
      </c>
      <c r="C16" s="21" t="b">
        <v>0</v>
      </c>
      <c r="D16" t="s">
        <v>68</v>
      </c>
      <c r="E16" t="s">
        <v>53</v>
      </c>
    </row>
    <row r="17" spans="1:5" x14ac:dyDescent="0.25">
      <c r="B17" t="s">
        <v>54</v>
      </c>
      <c r="C17" s="21" t="b">
        <v>1</v>
      </c>
      <c r="D17" t="s">
        <v>68</v>
      </c>
      <c r="E17" t="s">
        <v>55</v>
      </c>
    </row>
    <row r="18" spans="1:5" x14ac:dyDescent="0.25">
      <c r="B18" t="s">
        <v>62</v>
      </c>
      <c r="C18" s="11">
        <v>0.1</v>
      </c>
      <c r="D18" s="19" t="s">
        <v>72</v>
      </c>
      <c r="E18" t="s">
        <v>63</v>
      </c>
    </row>
    <row r="19" spans="1:5" x14ac:dyDescent="0.25">
      <c r="A19" t="s">
        <v>160</v>
      </c>
      <c r="B19" t="s">
        <v>136</v>
      </c>
      <c r="C19" t="s">
        <v>143</v>
      </c>
      <c r="D19" t="s">
        <v>70</v>
      </c>
      <c r="E19" t="s">
        <v>139</v>
      </c>
    </row>
    <row r="20" spans="1:5" x14ac:dyDescent="0.25">
      <c r="A20" t="s">
        <v>160</v>
      </c>
      <c r="B20" t="s">
        <v>137</v>
      </c>
      <c r="C20" t="s">
        <v>140</v>
      </c>
      <c r="D20" t="s">
        <v>70</v>
      </c>
      <c r="E20" t="s">
        <v>138</v>
      </c>
    </row>
    <row r="21" spans="1:5" x14ac:dyDescent="0.25">
      <c r="A21" t="s">
        <v>160</v>
      </c>
      <c r="B21" t="s">
        <v>56</v>
      </c>
      <c r="C21" s="17">
        <v>-3.6666666666666701</v>
      </c>
      <c r="D21" s="17" t="s">
        <v>72</v>
      </c>
      <c r="E21" t="s">
        <v>57</v>
      </c>
    </row>
    <row r="22" spans="1:5" x14ac:dyDescent="0.25">
      <c r="A22" t="s">
        <v>160</v>
      </c>
      <c r="B22" t="s">
        <v>66</v>
      </c>
      <c r="C22" s="21" t="b">
        <v>1</v>
      </c>
      <c r="D22" t="s">
        <v>68</v>
      </c>
      <c r="E22" t="s">
        <v>67</v>
      </c>
    </row>
    <row r="23" spans="1:5" x14ac:dyDescent="0.25">
      <c r="A23" t="s">
        <v>160</v>
      </c>
      <c r="B23" t="s">
        <v>65</v>
      </c>
      <c r="C23" s="21" t="b">
        <v>1</v>
      </c>
      <c r="D23" t="s">
        <v>68</v>
      </c>
      <c r="E23" t="s">
        <v>67</v>
      </c>
    </row>
    <row r="24" spans="1:5" x14ac:dyDescent="0.25">
      <c r="A24" t="s">
        <v>160</v>
      </c>
      <c r="B24" t="s">
        <v>73</v>
      </c>
      <c r="C24" t="s">
        <v>76</v>
      </c>
      <c r="D24" t="s">
        <v>71</v>
      </c>
      <c r="E24" t="s">
        <v>94</v>
      </c>
    </row>
    <row r="25" spans="1:5" x14ac:dyDescent="0.25">
      <c r="A25" t="s">
        <v>160</v>
      </c>
      <c r="B25" t="s">
        <v>147</v>
      </c>
      <c r="C25" s="21" t="b">
        <v>1</v>
      </c>
      <c r="D25" t="s">
        <v>68</v>
      </c>
      <c r="E25" t="s">
        <v>148</v>
      </c>
    </row>
    <row r="26" spans="1:5" x14ac:dyDescent="0.25">
      <c r="A26" t="s">
        <v>160</v>
      </c>
      <c r="B26" t="s">
        <v>155</v>
      </c>
      <c r="C26" t="s">
        <v>158</v>
      </c>
      <c r="D26" t="s">
        <v>71</v>
      </c>
      <c r="E26" t="s">
        <v>159</v>
      </c>
    </row>
    <row r="27" spans="1:5" x14ac:dyDescent="0.25">
      <c r="A27" t="s">
        <v>160</v>
      </c>
      <c r="B27" t="s">
        <v>79</v>
      </c>
      <c r="C27" t="s">
        <v>80</v>
      </c>
      <c r="D27" t="s">
        <v>70</v>
      </c>
      <c r="E27" t="s">
        <v>190</v>
      </c>
    </row>
    <row r="28" spans="1:5" x14ac:dyDescent="0.25">
      <c r="A28" t="s">
        <v>160</v>
      </c>
      <c r="B28" t="s">
        <v>130</v>
      </c>
      <c r="C28" t="s">
        <v>144</v>
      </c>
      <c r="D28" t="s">
        <v>104</v>
      </c>
      <c r="E28" t="s">
        <v>132</v>
      </c>
    </row>
    <row r="29" spans="1:5" x14ac:dyDescent="0.25">
      <c r="A29" t="s">
        <v>160</v>
      </c>
      <c r="B29" t="s">
        <v>81</v>
      </c>
      <c r="C29" s="21" t="b">
        <v>1</v>
      </c>
      <c r="D29" t="s">
        <v>68</v>
      </c>
      <c r="E29" t="s">
        <v>82</v>
      </c>
    </row>
    <row r="30" spans="1:5" x14ac:dyDescent="0.25">
      <c r="A30" t="s">
        <v>160</v>
      </c>
      <c r="B30" t="s">
        <v>83</v>
      </c>
      <c r="C30" s="21" t="b">
        <v>1</v>
      </c>
      <c r="D30" t="s">
        <v>68</v>
      </c>
      <c r="E30" t="s">
        <v>84</v>
      </c>
    </row>
    <row r="31" spans="1:5" x14ac:dyDescent="0.25">
      <c r="A31" t="s">
        <v>160</v>
      </c>
      <c r="B31" t="s">
        <v>102</v>
      </c>
      <c r="D31" t="s">
        <v>104</v>
      </c>
      <c r="E31" t="s">
        <v>103</v>
      </c>
    </row>
    <row r="32" spans="1:5" x14ac:dyDescent="0.25">
      <c r="A32" t="s">
        <v>160</v>
      </c>
      <c r="B32" t="s">
        <v>112</v>
      </c>
      <c r="C32" s="19" t="s">
        <v>113</v>
      </c>
      <c r="D32" s="19" t="s">
        <v>70</v>
      </c>
      <c r="E32" t="s">
        <v>189</v>
      </c>
    </row>
    <row r="33" spans="1:5" x14ac:dyDescent="0.25">
      <c r="A33" t="s">
        <v>160</v>
      </c>
      <c r="B33" t="s">
        <v>131</v>
      </c>
      <c r="D33" t="s">
        <v>104</v>
      </c>
      <c r="E33" t="s">
        <v>133</v>
      </c>
    </row>
    <row r="34" spans="1:5" ht="15.75" customHeight="1" x14ac:dyDescent="0.25">
      <c r="A34" t="s">
        <v>160</v>
      </c>
      <c r="B34" t="s">
        <v>150</v>
      </c>
      <c r="D34" t="s">
        <v>104</v>
      </c>
      <c r="E34" t="s">
        <v>152</v>
      </c>
    </row>
    <row r="35" spans="1:5" x14ac:dyDescent="0.25">
      <c r="A35" t="s">
        <v>160</v>
      </c>
      <c r="B35" t="s">
        <v>193</v>
      </c>
      <c r="D35" t="s">
        <v>104</v>
      </c>
      <c r="E35" t="s">
        <v>151</v>
      </c>
    </row>
    <row r="36" spans="1:5" x14ac:dyDescent="0.25">
      <c r="A36" t="s">
        <v>160</v>
      </c>
      <c r="B36" t="s">
        <v>161</v>
      </c>
      <c r="C36" t="s">
        <v>162</v>
      </c>
      <c r="D36" t="s">
        <v>70</v>
      </c>
      <c r="E36" t="s">
        <v>188</v>
      </c>
    </row>
    <row r="37" spans="1:5" x14ac:dyDescent="0.25">
      <c r="A37" t="s">
        <v>160</v>
      </c>
      <c r="B37" t="s">
        <v>164</v>
      </c>
      <c r="C37" t="s">
        <v>165</v>
      </c>
      <c r="D37" t="s">
        <v>70</v>
      </c>
      <c r="E37" t="s">
        <v>166</v>
      </c>
    </row>
    <row r="38" spans="1:5" x14ac:dyDescent="0.25">
      <c r="A38" t="s">
        <v>160</v>
      </c>
      <c r="B38" t="s">
        <v>167</v>
      </c>
      <c r="C38" s="21" t="b">
        <v>1</v>
      </c>
      <c r="D38" t="s">
        <v>68</v>
      </c>
      <c r="E38" t="s">
        <v>168</v>
      </c>
    </row>
    <row r="39" spans="1:5" x14ac:dyDescent="0.25">
      <c r="A39" t="s">
        <v>160</v>
      </c>
      <c r="B39" t="s">
        <v>179</v>
      </c>
      <c r="C39" s="21" t="b">
        <v>1</v>
      </c>
      <c r="D39" t="s">
        <v>68</v>
      </c>
      <c r="E39" t="s">
        <v>180</v>
      </c>
    </row>
    <row r="40" spans="1:5" x14ac:dyDescent="0.25">
      <c r="A40" t="s">
        <v>160</v>
      </c>
      <c r="B40" t="s">
        <v>181</v>
      </c>
      <c r="C40" t="s">
        <v>182</v>
      </c>
      <c r="D40" t="s">
        <v>70</v>
      </c>
      <c r="E40" t="s">
        <v>187</v>
      </c>
    </row>
    <row r="41" spans="1:5" x14ac:dyDescent="0.25">
      <c r="A41" t="s">
        <v>160</v>
      </c>
      <c r="B41" t="s">
        <v>183</v>
      </c>
      <c r="C41" t="s">
        <v>144</v>
      </c>
      <c r="D41" t="s">
        <v>104</v>
      </c>
      <c r="E41" t="s">
        <v>184</v>
      </c>
    </row>
    <row r="42" spans="1:5" x14ac:dyDescent="0.25">
      <c r="A42" t="s">
        <v>160</v>
      </c>
      <c r="B42" t="s">
        <v>185</v>
      </c>
      <c r="C42">
        <v>2</v>
      </c>
      <c r="D42" t="s">
        <v>69</v>
      </c>
      <c r="E42" t="s">
        <v>186</v>
      </c>
    </row>
  </sheetData>
  <autoFilter ref="B6:E6" xr:uid="{89FFA668-DA1A-459B-BD42-D0D7F7709F0D}"/>
  <conditionalFormatting sqref="C16:C17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2:C23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5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9:C30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8:C39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6:C17 C22:C23 C29:C30 C25 C38:C39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C24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R10"/>
  <sheetViews>
    <sheetView zoomScaleNormal="100" workbookViewId="0">
      <selection activeCell="C6" sqref="C6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7" customWidth="1"/>
    <col min="8" max="8" width="12.5703125" bestFit="1" customWidth="1"/>
    <col min="9" max="9" width="25" customWidth="1"/>
    <col min="10" max="10" width="17.42578125" customWidth="1"/>
    <col min="11" max="11" width="24.5703125" customWidth="1"/>
    <col min="12" max="12" width="9.85546875" customWidth="1"/>
    <col min="13" max="13" width="18.28515625" customWidth="1"/>
    <col min="14" max="14" width="10.140625" bestFit="1" customWidth="1"/>
    <col min="15" max="15" width="9.7109375" bestFit="1" customWidth="1"/>
    <col min="16" max="17" width="12.85546875" bestFit="1" customWidth="1"/>
    <col min="18" max="18" width="19.85546875" bestFit="1" customWidth="1"/>
  </cols>
  <sheetData>
    <row r="1" spans="1:18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/>
      <c r="H1" s="2" t="s">
        <v>5</v>
      </c>
      <c r="I1" s="2" t="s">
        <v>40</v>
      </c>
      <c r="J1" s="2" t="s">
        <v>7</v>
      </c>
      <c r="K1" s="2" t="s">
        <v>5</v>
      </c>
      <c r="L1" s="2" t="s">
        <v>7</v>
      </c>
      <c r="M1" s="2" t="s">
        <v>5</v>
      </c>
      <c r="N1" s="2" t="s">
        <v>5</v>
      </c>
      <c r="O1" s="2" t="s">
        <v>5</v>
      </c>
      <c r="P1" s="2" t="s">
        <v>21</v>
      </c>
      <c r="Q1" s="2" t="s">
        <v>7</v>
      </c>
      <c r="R1" s="2" t="s">
        <v>5</v>
      </c>
    </row>
    <row r="2" spans="1:18" x14ac:dyDescent="0.25">
      <c r="A2" s="1"/>
      <c r="B2" s="2"/>
      <c r="C2" s="2"/>
      <c r="D2" s="2"/>
      <c r="E2" s="2"/>
      <c r="F2" s="2" t="s">
        <v>0</v>
      </c>
      <c r="G2" s="2"/>
      <c r="H2" s="2"/>
      <c r="I2" s="5"/>
      <c r="J2" s="2" t="s">
        <v>9</v>
      </c>
      <c r="K2" s="2"/>
      <c r="L2" s="2" t="s">
        <v>10</v>
      </c>
      <c r="M2" s="2"/>
      <c r="N2" s="2"/>
      <c r="O2" s="2"/>
      <c r="P2" s="2"/>
      <c r="Q2" s="1"/>
      <c r="R2" s="1"/>
    </row>
    <row r="3" spans="1:18" s="14" customFormat="1" ht="60" x14ac:dyDescent="0.25">
      <c r="A3" s="12" t="s">
        <v>145</v>
      </c>
      <c r="B3" s="13" t="s">
        <v>38</v>
      </c>
      <c r="C3" s="13" t="s">
        <v>123</v>
      </c>
      <c r="D3" s="13" t="s">
        <v>30</v>
      </c>
      <c r="E3" s="13" t="s">
        <v>124</v>
      </c>
      <c r="F3" s="13" t="s">
        <v>39</v>
      </c>
      <c r="G3" s="13" t="s">
        <v>125</v>
      </c>
      <c r="H3" s="13" t="s">
        <v>64</v>
      </c>
      <c r="I3" s="13" t="s">
        <v>126</v>
      </c>
      <c r="J3" s="13" t="s">
        <v>127</v>
      </c>
      <c r="K3" s="13" t="s">
        <v>128</v>
      </c>
      <c r="L3" s="13" t="s">
        <v>11</v>
      </c>
      <c r="M3" s="13" t="s">
        <v>129</v>
      </c>
      <c r="N3" s="13" t="s">
        <v>12</v>
      </c>
      <c r="O3" s="13" t="s">
        <v>20</v>
      </c>
      <c r="P3" s="1" t="s">
        <v>18</v>
      </c>
      <c r="Q3" s="13" t="s">
        <v>19</v>
      </c>
      <c r="R3" s="13" t="s">
        <v>22</v>
      </c>
    </row>
    <row r="4" spans="1:18" ht="15.75" x14ac:dyDescent="0.3">
      <c r="A4">
        <v>0</v>
      </c>
      <c r="B4" t="s">
        <v>14</v>
      </c>
      <c r="C4" t="s">
        <v>25</v>
      </c>
      <c r="D4" t="str">
        <f t="shared" ref="D4" si="0">_xlfn.CONCAT(B4,":",C4)</f>
        <v>Source:FI</v>
      </c>
      <c r="E4" t="s">
        <v>14</v>
      </c>
      <c r="F4">
        <v>0</v>
      </c>
      <c r="H4" t="s">
        <v>33</v>
      </c>
      <c r="M4" s="4"/>
      <c r="R4" t="s">
        <v>14</v>
      </c>
    </row>
    <row r="5" spans="1:18" ht="15.75" x14ac:dyDescent="0.3">
      <c r="A5">
        <v>1</v>
      </c>
      <c r="B5" t="s">
        <v>194</v>
      </c>
      <c r="C5" t="s">
        <v>25</v>
      </c>
      <c r="D5" t="str">
        <f t="shared" ref="D5:D6" si="1">_xlfn.CONCAT(B5,":",C5)</f>
        <v>Middle:FI</v>
      </c>
      <c r="E5" t="s">
        <v>14</v>
      </c>
      <c r="F5">
        <v>0</v>
      </c>
      <c r="H5" t="s">
        <v>33</v>
      </c>
      <c r="M5" s="4"/>
      <c r="R5" t="s">
        <v>194</v>
      </c>
    </row>
    <row r="6" spans="1:18" ht="15.75" x14ac:dyDescent="0.3">
      <c r="A6">
        <v>2</v>
      </c>
      <c r="B6" t="s">
        <v>198</v>
      </c>
      <c r="C6" t="s">
        <v>25</v>
      </c>
      <c r="D6" t="str">
        <f t="shared" si="1"/>
        <v>Sink1:FI</v>
      </c>
      <c r="E6" t="s">
        <v>14</v>
      </c>
      <c r="F6">
        <v>0</v>
      </c>
      <c r="H6" t="s">
        <v>33</v>
      </c>
      <c r="M6" s="4"/>
      <c r="R6" t="s">
        <v>198</v>
      </c>
    </row>
    <row r="7" spans="1:18" ht="15.75" x14ac:dyDescent="0.3">
      <c r="A7">
        <v>3</v>
      </c>
      <c r="B7" t="s">
        <v>199</v>
      </c>
      <c r="C7" t="s">
        <v>25</v>
      </c>
      <c r="D7" t="str">
        <f t="shared" ref="D7" si="2">_xlfn.CONCAT(B7,":",C7)</f>
        <v>Sink2:FI</v>
      </c>
      <c r="E7" t="s">
        <v>14</v>
      </c>
      <c r="F7">
        <v>0</v>
      </c>
      <c r="H7" t="s">
        <v>33</v>
      </c>
      <c r="M7" s="4"/>
      <c r="R7" t="s">
        <v>199</v>
      </c>
    </row>
    <row r="10" spans="1:18" ht="15.6" customHeight="1" x14ac:dyDescent="0.25"/>
  </sheetData>
  <phoneticPr fontId="5" type="noConversion"/>
  <dataValidations xWindow="1088" yWindow="385" count="2">
    <dataValidation allowBlank="1" showInputMessage="1" showErrorMessage="1" promptTitle="Sankey diagram positioning" prompt="Sankey diagram X and Y node positioning. Check / adjust positioning after you run case and see coordinates. " sqref="Q2 P4:Q1048576" xr:uid="{167D7519-74A2-4731-8D99-C2A980321CC9}"/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I4:I1048576" xr:uid="{564AD8C3-F96D-40DD-BFD1-1C6E073701B7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H82"/>
  <sheetViews>
    <sheetView tabSelected="1" topLeftCell="A3" zoomScaleNormal="100" workbookViewId="0">
      <selection activeCell="G4" sqref="G1:H1048576"/>
    </sheetView>
  </sheetViews>
  <sheetFormatPr defaultRowHeight="15" x14ac:dyDescent="0.25"/>
  <cols>
    <col min="1" max="1" width="20.5703125" customWidth="1"/>
    <col min="2" max="2" width="24" customWidth="1"/>
    <col min="3" max="3" width="20.42578125" customWidth="1"/>
    <col min="4" max="4" width="9.42578125" customWidth="1"/>
    <col min="5" max="5" width="15.85546875" customWidth="1"/>
    <col min="6" max="6" width="12.85546875" customWidth="1"/>
    <col min="7" max="7" width="15.7109375" customWidth="1"/>
    <col min="8" max="8" width="42" customWidth="1"/>
  </cols>
  <sheetData>
    <row r="1" spans="1:8" x14ac:dyDescent="0.25">
      <c r="A1" s="1" t="s">
        <v>4</v>
      </c>
      <c r="B1" s="2" t="s">
        <v>5</v>
      </c>
      <c r="C1" s="2" t="s">
        <v>5</v>
      </c>
      <c r="D1" s="2" t="s">
        <v>7</v>
      </c>
      <c r="E1" s="2" t="s">
        <v>5</v>
      </c>
      <c r="F1" s="2" t="s">
        <v>6</v>
      </c>
      <c r="G1" s="2" t="s">
        <v>7</v>
      </c>
      <c r="H1" s="2" t="s">
        <v>5</v>
      </c>
    </row>
    <row r="2" spans="1:8" ht="15" customHeight="1" x14ac:dyDescent="0.25">
      <c r="A2" s="1" t="s">
        <v>8</v>
      </c>
      <c r="B2" s="2"/>
      <c r="C2" s="2"/>
      <c r="D2" s="2"/>
      <c r="E2" s="2" t="s">
        <v>23</v>
      </c>
      <c r="F2" s="2"/>
      <c r="G2" s="2" t="s">
        <v>142</v>
      </c>
      <c r="H2" s="2"/>
    </row>
    <row r="3" spans="1:8" ht="59.25" customHeight="1" x14ac:dyDescent="0.25">
      <c r="A3" s="12" t="s">
        <v>146</v>
      </c>
      <c r="B3" s="6" t="s">
        <v>134</v>
      </c>
      <c r="C3" s="6" t="s">
        <v>135</v>
      </c>
      <c r="D3" s="6" t="s">
        <v>37</v>
      </c>
      <c r="E3" s="6" t="s">
        <v>8</v>
      </c>
      <c r="F3" s="6" t="s">
        <v>24</v>
      </c>
      <c r="G3" s="8" t="s">
        <v>141</v>
      </c>
      <c r="H3" s="9" t="s">
        <v>13</v>
      </c>
    </row>
    <row r="4" spans="1:8" x14ac:dyDescent="0.25">
      <c r="A4" t="s">
        <v>32</v>
      </c>
      <c r="B4" s="3" t="s">
        <v>209</v>
      </c>
      <c r="C4" s="3" t="s">
        <v>195</v>
      </c>
      <c r="D4">
        <v>100</v>
      </c>
      <c r="E4" t="s">
        <v>31</v>
      </c>
      <c r="F4">
        <v>2000</v>
      </c>
      <c r="H4" s="10"/>
    </row>
    <row r="5" spans="1:8" x14ac:dyDescent="0.25">
      <c r="B5" s="3" t="s">
        <v>195</v>
      </c>
      <c r="C5" s="3" t="s">
        <v>200</v>
      </c>
      <c r="D5">
        <v>50</v>
      </c>
      <c r="E5" t="s">
        <v>9</v>
      </c>
      <c r="F5">
        <v>2000</v>
      </c>
      <c r="H5" s="10"/>
    </row>
    <row r="6" spans="1:8" x14ac:dyDescent="0.25">
      <c r="B6" s="3" t="s">
        <v>195</v>
      </c>
      <c r="C6" s="3" t="s">
        <v>201</v>
      </c>
      <c r="D6">
        <v>50</v>
      </c>
      <c r="E6" t="s">
        <v>9</v>
      </c>
      <c r="F6">
        <v>2000</v>
      </c>
      <c r="H6" s="10"/>
    </row>
    <row r="7" spans="1:8" x14ac:dyDescent="0.25">
      <c r="B7" s="3"/>
      <c r="C7" s="3"/>
    </row>
    <row r="8" spans="1:8" x14ac:dyDescent="0.25">
      <c r="B8" s="3"/>
      <c r="C8" s="3"/>
    </row>
    <row r="9" spans="1:8" x14ac:dyDescent="0.25">
      <c r="B9" s="3"/>
      <c r="C9" s="3"/>
    </row>
    <row r="10" spans="1:8" x14ac:dyDescent="0.25">
      <c r="B10" s="3"/>
      <c r="C10" s="3"/>
    </row>
    <row r="11" spans="1:8" x14ac:dyDescent="0.25">
      <c r="B11" s="3"/>
      <c r="C11" s="3"/>
    </row>
    <row r="12" spans="1:8" x14ac:dyDescent="0.25">
      <c r="B12" s="3"/>
      <c r="C12" s="3"/>
    </row>
    <row r="13" spans="1:8" x14ac:dyDescent="0.25">
      <c r="B13" s="3"/>
      <c r="C13" s="3"/>
    </row>
    <row r="14" spans="1:8" x14ac:dyDescent="0.25">
      <c r="B14" s="3"/>
      <c r="C14" s="3"/>
    </row>
    <row r="15" spans="1:8" x14ac:dyDescent="0.25">
      <c r="B15" s="3"/>
      <c r="C15" s="3"/>
    </row>
    <row r="16" spans="1:8" x14ac:dyDescent="0.25">
      <c r="B16" s="3"/>
      <c r="C16" s="3"/>
    </row>
    <row r="17" spans="2:3" x14ac:dyDescent="0.25">
      <c r="B17" s="3"/>
      <c r="C17" s="3"/>
    </row>
    <row r="18" spans="2:3" x14ac:dyDescent="0.25">
      <c r="B18" s="3"/>
      <c r="C18" s="3"/>
    </row>
    <row r="19" spans="2:3" x14ac:dyDescent="0.25">
      <c r="B19" s="3"/>
      <c r="C19" s="3"/>
    </row>
    <row r="20" spans="2:3" x14ac:dyDescent="0.25">
      <c r="B20" s="3"/>
      <c r="C20" s="3"/>
    </row>
    <row r="21" spans="2:3" x14ac:dyDescent="0.25">
      <c r="B21" s="3"/>
      <c r="C21" s="3"/>
    </row>
    <row r="22" spans="2:3" x14ac:dyDescent="0.25">
      <c r="B22" s="3"/>
      <c r="C22" s="3"/>
    </row>
    <row r="23" spans="2:3" x14ac:dyDescent="0.25">
      <c r="B23" s="3"/>
      <c r="C23" s="3"/>
    </row>
    <row r="24" spans="2:3" x14ac:dyDescent="0.25">
      <c r="B24" s="3"/>
      <c r="C24" s="3"/>
    </row>
    <row r="25" spans="2:3" x14ac:dyDescent="0.25">
      <c r="B25" s="3"/>
      <c r="C25" s="3"/>
    </row>
    <row r="26" spans="2:3" x14ac:dyDescent="0.25">
      <c r="B26" s="3"/>
      <c r="C26" s="3"/>
    </row>
    <row r="27" spans="2:3" x14ac:dyDescent="0.25">
      <c r="B27" s="3"/>
      <c r="C27" s="3"/>
    </row>
    <row r="28" spans="2:3" x14ac:dyDescent="0.25">
      <c r="B28" s="3"/>
      <c r="C28" s="3"/>
    </row>
    <row r="29" spans="2:3" x14ac:dyDescent="0.25">
      <c r="B29" s="3"/>
      <c r="C29" s="3"/>
    </row>
    <row r="30" spans="2:3" x14ac:dyDescent="0.25">
      <c r="B30" s="3"/>
      <c r="C30" s="3"/>
    </row>
    <row r="31" spans="2:3" x14ac:dyDescent="0.25">
      <c r="B31" s="3"/>
      <c r="C31" s="3"/>
    </row>
    <row r="32" spans="2:3" x14ac:dyDescent="0.25">
      <c r="B32" s="3"/>
      <c r="C32" s="3"/>
    </row>
    <row r="33" spans="2:3" x14ac:dyDescent="0.25">
      <c r="B33" s="3"/>
      <c r="C33" s="3"/>
    </row>
    <row r="34" spans="2:3" x14ac:dyDescent="0.25">
      <c r="B34" s="3"/>
      <c r="C34" s="3"/>
    </row>
    <row r="35" spans="2:3" x14ac:dyDescent="0.25">
      <c r="B35" s="3"/>
      <c r="C35" s="3"/>
    </row>
    <row r="36" spans="2:3" x14ac:dyDescent="0.25">
      <c r="B36" s="3"/>
      <c r="C36" s="3"/>
    </row>
    <row r="37" spans="2:3" x14ac:dyDescent="0.25">
      <c r="B37" s="3"/>
      <c r="C37" s="3"/>
    </row>
    <row r="38" spans="2:3" x14ac:dyDescent="0.25">
      <c r="B38" s="3"/>
      <c r="C38" s="3"/>
    </row>
    <row r="39" spans="2:3" x14ac:dyDescent="0.25">
      <c r="B39" s="3"/>
      <c r="C39" s="3"/>
    </row>
    <row r="40" spans="2:3" x14ac:dyDescent="0.25">
      <c r="B40" s="3"/>
      <c r="C40" s="3"/>
    </row>
    <row r="41" spans="2:3" x14ac:dyDescent="0.25">
      <c r="B41" s="3"/>
      <c r="C41" s="3"/>
    </row>
    <row r="42" spans="2:3" x14ac:dyDescent="0.25">
      <c r="B42" s="3"/>
      <c r="C42" s="3"/>
    </row>
    <row r="43" spans="2:3" x14ac:dyDescent="0.25">
      <c r="B43" s="3"/>
      <c r="C43" s="3"/>
    </row>
    <row r="44" spans="2:3" x14ac:dyDescent="0.25">
      <c r="B44" s="3"/>
      <c r="C44" s="3"/>
    </row>
    <row r="45" spans="2:3" x14ac:dyDescent="0.25">
      <c r="B45" s="3"/>
      <c r="C45" s="3"/>
    </row>
    <row r="46" spans="2:3" x14ac:dyDescent="0.25">
      <c r="B46" s="3"/>
      <c r="C46" s="3"/>
    </row>
    <row r="47" spans="2:3" x14ac:dyDescent="0.25">
      <c r="B47" s="3"/>
      <c r="C47" s="3"/>
    </row>
    <row r="48" spans="2:3" x14ac:dyDescent="0.25">
      <c r="B48" s="3"/>
      <c r="C48" s="3"/>
    </row>
    <row r="49" spans="2:3" x14ac:dyDescent="0.25">
      <c r="B49" s="3"/>
      <c r="C49" s="3"/>
    </row>
    <row r="50" spans="2:3" x14ac:dyDescent="0.25">
      <c r="B50" s="3"/>
      <c r="C50" s="3"/>
    </row>
    <row r="51" spans="2:3" x14ac:dyDescent="0.25">
      <c r="B51" s="3"/>
      <c r="C51" s="3"/>
    </row>
    <row r="52" spans="2:3" x14ac:dyDescent="0.25">
      <c r="B52" s="3"/>
      <c r="C52" s="3"/>
    </row>
    <row r="53" spans="2:3" x14ac:dyDescent="0.25">
      <c r="B53" s="3"/>
      <c r="C53" s="3"/>
    </row>
    <row r="54" spans="2:3" x14ac:dyDescent="0.25">
      <c r="B54" s="3"/>
      <c r="C54" s="3"/>
    </row>
    <row r="55" spans="2:3" x14ac:dyDescent="0.25">
      <c r="B55" s="3"/>
      <c r="C55" s="3"/>
    </row>
    <row r="56" spans="2:3" x14ac:dyDescent="0.25">
      <c r="B56" s="3"/>
      <c r="C56" s="3"/>
    </row>
    <row r="57" spans="2:3" x14ac:dyDescent="0.25">
      <c r="B57" s="3"/>
      <c r="C57" s="3"/>
    </row>
    <row r="58" spans="2:3" x14ac:dyDescent="0.25">
      <c r="B58" s="3"/>
      <c r="C58" s="3"/>
    </row>
    <row r="59" spans="2:3" x14ac:dyDescent="0.25">
      <c r="B59" s="3"/>
      <c r="C59" s="3"/>
    </row>
    <row r="60" spans="2:3" x14ac:dyDescent="0.25">
      <c r="B60" s="3"/>
      <c r="C60" s="3"/>
    </row>
    <row r="61" spans="2:3" x14ac:dyDescent="0.25">
      <c r="B61" s="3"/>
      <c r="C61" s="3"/>
    </row>
    <row r="62" spans="2:3" x14ac:dyDescent="0.25">
      <c r="B62" s="3"/>
      <c r="C62" s="3"/>
    </row>
    <row r="63" spans="2:3" x14ac:dyDescent="0.25">
      <c r="B63" s="3"/>
      <c r="C63" s="3"/>
    </row>
    <row r="64" spans="2:3" x14ac:dyDescent="0.25">
      <c r="B64" s="3"/>
      <c r="C64" s="3"/>
    </row>
    <row r="65" spans="2:3" x14ac:dyDescent="0.25">
      <c r="B65" s="3"/>
      <c r="C65" s="3"/>
    </row>
    <row r="66" spans="2:3" x14ac:dyDescent="0.25">
      <c r="B66" s="3"/>
      <c r="C66" s="3"/>
    </row>
    <row r="67" spans="2:3" x14ac:dyDescent="0.25">
      <c r="B67" s="3"/>
      <c r="C67" s="3"/>
    </row>
    <row r="68" spans="2:3" x14ac:dyDescent="0.25">
      <c r="B68" s="3"/>
      <c r="C68" s="3"/>
    </row>
    <row r="69" spans="2:3" x14ac:dyDescent="0.25">
      <c r="B69" s="3"/>
      <c r="C69" s="3"/>
    </row>
    <row r="70" spans="2:3" x14ac:dyDescent="0.25">
      <c r="B70" s="3"/>
      <c r="C70" s="3"/>
    </row>
    <row r="71" spans="2:3" x14ac:dyDescent="0.25">
      <c r="B71" s="3"/>
      <c r="C71" s="3"/>
    </row>
    <row r="72" spans="2:3" x14ac:dyDescent="0.25">
      <c r="B72" s="3"/>
      <c r="C72" s="3"/>
    </row>
    <row r="73" spans="2:3" x14ac:dyDescent="0.25">
      <c r="B73" s="3"/>
      <c r="C73" s="3"/>
    </row>
    <row r="74" spans="2:3" x14ac:dyDescent="0.25">
      <c r="B74" s="3"/>
      <c r="C74" s="3"/>
    </row>
    <row r="75" spans="2:3" x14ac:dyDescent="0.25">
      <c r="B75" s="3"/>
      <c r="C75" s="3"/>
    </row>
    <row r="76" spans="2:3" x14ac:dyDescent="0.25">
      <c r="B76" s="3"/>
      <c r="C76" s="3"/>
    </row>
    <row r="78" spans="2:3" x14ac:dyDescent="0.25">
      <c r="B78" s="3"/>
      <c r="C78" s="3"/>
    </row>
    <row r="79" spans="2:3" x14ac:dyDescent="0.25">
      <c r="B79" s="3"/>
      <c r="C79" s="3"/>
    </row>
    <row r="80" spans="2:3" x14ac:dyDescent="0.25">
      <c r="B80" s="3"/>
      <c r="C80" s="3"/>
    </row>
    <row r="81" spans="2:3" x14ac:dyDescent="0.25">
      <c r="B81" s="3"/>
      <c r="C81" s="3"/>
    </row>
    <row r="82" spans="2:3" x14ac:dyDescent="0.25">
      <c r="B82" s="3"/>
      <c r="C82" s="3"/>
    </row>
  </sheetData>
  <autoFilter ref="A3:H5" xr:uid="{B692AEE8-68EE-4B81-A49D-50BF066DFFE7}"/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H2" sqref="H2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169</v>
      </c>
      <c r="G1" s="2" t="s">
        <v>169</v>
      </c>
      <c r="H1" s="2" t="s">
        <v>169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2" t="s">
        <v>170</v>
      </c>
      <c r="B3" s="6" t="s">
        <v>30</v>
      </c>
      <c r="C3" s="6" t="s">
        <v>39</v>
      </c>
      <c r="D3" s="6" t="s">
        <v>90</v>
      </c>
      <c r="E3" s="6" t="s">
        <v>91</v>
      </c>
      <c r="F3" s="6" t="s">
        <v>171</v>
      </c>
      <c r="G3" s="6" t="s">
        <v>172</v>
      </c>
      <c r="H3" s="6" t="s">
        <v>173</v>
      </c>
      <c r="I3" s="7" t="s">
        <v>174</v>
      </c>
      <c r="J3" s="6" t="s">
        <v>13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1"/>
  <sheetViews>
    <sheetView workbookViewId="0">
      <selection activeCell="A2" sqref="A2"/>
    </sheetView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24</v>
      </c>
      <c r="B1" t="s">
        <v>30</v>
      </c>
      <c r="C1" t="s">
        <v>18</v>
      </c>
      <c r="D1" t="s">
        <v>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M8"/>
  <sheetViews>
    <sheetView topLeftCell="D1" workbookViewId="0">
      <selection activeCell="D1" sqref="D1"/>
    </sheetView>
  </sheetViews>
  <sheetFormatPr defaultRowHeight="15" x14ac:dyDescent="0.25"/>
  <cols>
    <col min="1" max="1" width="27.7109375" customWidth="1"/>
    <col min="2" max="2" width="52.85546875" customWidth="1"/>
    <col min="3" max="3" width="16.5703125" bestFit="1" customWidth="1"/>
    <col min="4" max="4" width="16.140625" bestFit="1" customWidth="1"/>
    <col min="5" max="5" width="21.85546875" bestFit="1" customWidth="1"/>
    <col min="6" max="6" width="23.85546875" bestFit="1" customWidth="1"/>
    <col min="7" max="7" width="37.140625" bestFit="1" customWidth="1"/>
    <col min="8" max="8" width="19.28515625" bestFit="1" customWidth="1"/>
    <col min="9" max="9" width="18.42578125" bestFit="1" customWidth="1"/>
    <col min="10" max="10" width="13.28515625" bestFit="1" customWidth="1"/>
    <col min="11" max="11" width="19.7109375" bestFit="1" customWidth="1"/>
    <col min="12" max="13" width="52.42578125" bestFit="1" customWidth="1"/>
  </cols>
  <sheetData>
    <row r="1" spans="1:13" x14ac:dyDescent="0.25">
      <c r="A1" t="s">
        <v>205</v>
      </c>
      <c r="B1" s="22" t="s">
        <v>85</v>
      </c>
      <c r="C1" s="22" t="s">
        <v>86</v>
      </c>
      <c r="D1" s="22" t="s">
        <v>87</v>
      </c>
      <c r="E1" s="22" t="s">
        <v>88</v>
      </c>
      <c r="F1" s="22" t="s">
        <v>149</v>
      </c>
      <c r="G1" s="22" t="s">
        <v>89</v>
      </c>
      <c r="H1" s="22" t="s">
        <v>90</v>
      </c>
      <c r="I1" s="22" t="s">
        <v>91</v>
      </c>
      <c r="J1" s="22" t="s">
        <v>92</v>
      </c>
      <c r="K1" s="22" t="s">
        <v>163</v>
      </c>
      <c r="L1" s="22" t="s">
        <v>93</v>
      </c>
      <c r="M1" s="22" t="s">
        <v>93</v>
      </c>
    </row>
    <row r="2" spans="1:13" x14ac:dyDescent="0.25">
      <c r="A2" t="s">
        <v>204</v>
      </c>
      <c r="B2" t="s">
        <v>196</v>
      </c>
      <c r="C2" s="3" t="s">
        <v>195</v>
      </c>
      <c r="D2" s="3" t="s">
        <v>200</v>
      </c>
      <c r="E2">
        <v>0</v>
      </c>
      <c r="G2" t="s">
        <v>9</v>
      </c>
      <c r="H2">
        <v>2005</v>
      </c>
      <c r="I2">
        <v>2010</v>
      </c>
      <c r="J2" t="s">
        <v>99</v>
      </c>
      <c r="K2" s="21" t="b">
        <v>0</v>
      </c>
    </row>
    <row r="3" spans="1:13" x14ac:dyDescent="0.25">
      <c r="A3" t="s">
        <v>204</v>
      </c>
      <c r="B3" t="s">
        <v>197</v>
      </c>
      <c r="C3" s="3" t="s">
        <v>195</v>
      </c>
      <c r="D3" s="3" t="s">
        <v>200</v>
      </c>
      <c r="E3">
        <v>50</v>
      </c>
      <c r="G3" t="s">
        <v>9</v>
      </c>
      <c r="H3">
        <v>2005</v>
      </c>
      <c r="I3">
        <v>2010</v>
      </c>
      <c r="J3" t="s">
        <v>99</v>
      </c>
      <c r="K3" s="21" t="b">
        <v>0</v>
      </c>
    </row>
    <row r="4" spans="1:13" x14ac:dyDescent="0.25">
      <c r="A4" t="s">
        <v>204</v>
      </c>
      <c r="B4" t="s">
        <v>202</v>
      </c>
      <c r="C4" s="3" t="s">
        <v>195</v>
      </c>
      <c r="D4" s="3" t="s">
        <v>200</v>
      </c>
      <c r="E4">
        <v>0</v>
      </c>
      <c r="G4" t="s">
        <v>9</v>
      </c>
      <c r="H4">
        <v>2005</v>
      </c>
      <c r="I4">
        <v>2010</v>
      </c>
      <c r="J4" t="s">
        <v>99</v>
      </c>
      <c r="K4" s="21" t="b">
        <v>1</v>
      </c>
      <c r="L4" t="s">
        <v>201</v>
      </c>
    </row>
    <row r="5" spans="1:13" x14ac:dyDescent="0.25">
      <c r="A5" t="s">
        <v>204</v>
      </c>
      <c r="B5" t="s">
        <v>203</v>
      </c>
      <c r="C5" s="3" t="s">
        <v>195</v>
      </c>
      <c r="D5" s="3" t="s">
        <v>200</v>
      </c>
      <c r="E5">
        <v>50</v>
      </c>
      <c r="G5" t="s">
        <v>9</v>
      </c>
      <c r="H5">
        <v>2005</v>
      </c>
      <c r="I5">
        <v>2010</v>
      </c>
      <c r="J5" t="s">
        <v>99</v>
      </c>
      <c r="K5" s="21" t="b">
        <v>1</v>
      </c>
      <c r="L5" t="s">
        <v>201</v>
      </c>
    </row>
    <row r="6" spans="1:13" x14ac:dyDescent="0.25">
      <c r="A6" t="s">
        <v>204</v>
      </c>
      <c r="B6" t="s">
        <v>206</v>
      </c>
      <c r="C6" s="3" t="s">
        <v>195</v>
      </c>
      <c r="D6" s="3" t="s">
        <v>200</v>
      </c>
      <c r="F6">
        <v>100</v>
      </c>
      <c r="G6" t="s">
        <v>9</v>
      </c>
      <c r="H6">
        <v>2005</v>
      </c>
      <c r="I6">
        <v>2010</v>
      </c>
      <c r="J6" t="s">
        <v>99</v>
      </c>
      <c r="K6" s="21" t="b">
        <v>0</v>
      </c>
    </row>
    <row r="7" spans="1:13" x14ac:dyDescent="0.25">
      <c r="A7" t="s">
        <v>204</v>
      </c>
      <c r="B7" t="s">
        <v>206</v>
      </c>
      <c r="C7" s="3" t="s">
        <v>195</v>
      </c>
      <c r="D7" s="3" t="s">
        <v>200</v>
      </c>
      <c r="F7">
        <v>60</v>
      </c>
      <c r="G7" t="s">
        <v>9</v>
      </c>
      <c r="H7">
        <v>2005</v>
      </c>
      <c r="I7">
        <v>2010</v>
      </c>
      <c r="J7" t="s">
        <v>99</v>
      </c>
      <c r="K7" s="21" t="b">
        <v>1</v>
      </c>
      <c r="L7" t="s">
        <v>201</v>
      </c>
    </row>
    <row r="8" spans="1:13" x14ac:dyDescent="0.25">
      <c r="A8" t="s">
        <v>204</v>
      </c>
      <c r="B8" t="s">
        <v>206</v>
      </c>
      <c r="C8" s="3" t="s">
        <v>195</v>
      </c>
      <c r="D8" s="3" t="s">
        <v>201</v>
      </c>
      <c r="F8">
        <v>60</v>
      </c>
      <c r="G8" t="s">
        <v>9</v>
      </c>
      <c r="H8">
        <v>2005</v>
      </c>
      <c r="I8">
        <v>2010</v>
      </c>
      <c r="J8" t="s">
        <v>99</v>
      </c>
      <c r="K8" s="21" t="b">
        <v>1</v>
      </c>
      <c r="L8" t="s">
        <v>200</v>
      </c>
    </row>
  </sheetData>
  <conditionalFormatting sqref="K2:K8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K2:K8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J2:J1048576 K9:K1048576</xm:sqref>
        </x14:dataValidation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G2:G1048576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105</v>
      </c>
      <c r="B1" s="1" t="s">
        <v>106</v>
      </c>
    </row>
    <row r="2" spans="1:3" x14ac:dyDescent="0.25">
      <c r="A2" t="s">
        <v>14</v>
      </c>
      <c r="B2" t="s">
        <v>115</v>
      </c>
    </row>
    <row r="3" spans="1:3" x14ac:dyDescent="0.25">
      <c r="A3" t="s">
        <v>15</v>
      </c>
      <c r="B3" t="s">
        <v>108</v>
      </c>
    </row>
    <row r="4" spans="1:3" x14ac:dyDescent="0.25">
      <c r="A4" t="s">
        <v>16</v>
      </c>
      <c r="B4" t="s">
        <v>109</v>
      </c>
    </row>
    <row r="5" spans="1:3" x14ac:dyDescent="0.25">
      <c r="A5" t="s">
        <v>28</v>
      </c>
      <c r="B5" t="s">
        <v>110</v>
      </c>
    </row>
    <row r="6" spans="1:3" x14ac:dyDescent="0.25">
      <c r="A6" t="s">
        <v>17</v>
      </c>
      <c r="B6" t="s">
        <v>111</v>
      </c>
    </row>
    <row r="7" spans="1:3" x14ac:dyDescent="0.25">
      <c r="A7" t="s">
        <v>26</v>
      </c>
      <c r="B7" t="s">
        <v>116</v>
      </c>
    </row>
    <row r="8" spans="1:3" x14ac:dyDescent="0.25">
      <c r="A8" t="s">
        <v>27</v>
      </c>
      <c r="B8" t="s">
        <v>117</v>
      </c>
    </row>
    <row r="9" spans="1:3" x14ac:dyDescent="0.25">
      <c r="A9" t="s">
        <v>107</v>
      </c>
      <c r="B9" t="s">
        <v>114</v>
      </c>
      <c r="C9" t="s">
        <v>118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F14" sqref="F14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95</v>
      </c>
    </row>
    <row r="3" spans="2:8" x14ac:dyDescent="0.25">
      <c r="B3" t="s">
        <v>96</v>
      </c>
    </row>
    <row r="5" spans="2:8" x14ac:dyDescent="0.25">
      <c r="B5" s="15" t="s">
        <v>64</v>
      </c>
      <c r="C5" s="15" t="s">
        <v>52</v>
      </c>
      <c r="D5" s="15" t="s">
        <v>73</v>
      </c>
      <c r="E5" s="15" t="s">
        <v>97</v>
      </c>
      <c r="F5" s="15" t="s">
        <v>92</v>
      </c>
      <c r="G5" s="15" t="s">
        <v>156</v>
      </c>
      <c r="H5" s="15" t="s">
        <v>175</v>
      </c>
    </row>
    <row r="6" spans="2:8" x14ac:dyDescent="0.25">
      <c r="B6" t="s">
        <v>33</v>
      </c>
      <c r="C6" t="b">
        <v>1</v>
      </c>
      <c r="D6" t="s">
        <v>74</v>
      </c>
      <c r="E6" t="s">
        <v>37</v>
      </c>
      <c r="F6" t="s">
        <v>98</v>
      </c>
      <c r="G6" t="s">
        <v>157</v>
      </c>
      <c r="H6" t="s">
        <v>176</v>
      </c>
    </row>
    <row r="7" spans="2:8" x14ac:dyDescent="0.25">
      <c r="B7" t="s">
        <v>29</v>
      </c>
      <c r="C7" t="b">
        <v>0</v>
      </c>
      <c r="D7" t="s">
        <v>75</v>
      </c>
      <c r="E7" t="s">
        <v>9</v>
      </c>
      <c r="F7" t="s">
        <v>99</v>
      </c>
      <c r="G7" t="s">
        <v>158</v>
      </c>
      <c r="H7" t="s">
        <v>177</v>
      </c>
    </row>
    <row r="8" spans="2:8" x14ac:dyDescent="0.25">
      <c r="B8" t="s">
        <v>34</v>
      </c>
      <c r="D8" t="s">
        <v>76</v>
      </c>
      <c r="F8" t="s">
        <v>100</v>
      </c>
      <c r="H8" t="s">
        <v>178</v>
      </c>
    </row>
    <row r="9" spans="2:8" x14ac:dyDescent="0.25">
      <c r="B9" t="s">
        <v>36</v>
      </c>
      <c r="D9" t="s">
        <v>77</v>
      </c>
      <c r="F9" t="s">
        <v>101</v>
      </c>
    </row>
    <row r="10" spans="2:8" x14ac:dyDescent="0.25">
      <c r="B10" t="s">
        <v>35</v>
      </c>
    </row>
    <row r="11" spans="2:8" x14ac:dyDescent="0.25">
      <c r="B11" t="s">
        <v>78</v>
      </c>
    </row>
    <row r="12" spans="2:8" x14ac:dyDescent="0.25">
      <c r="B12" t="s">
        <v>153</v>
      </c>
    </row>
    <row r="13" spans="2:8" x14ac:dyDescent="0.25">
      <c r="B13" t="s">
        <v>154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2026-09-24T11:45:16Z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