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E1C5CEC2-46F8-4A6F-8819-0E154B357229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Flows!$A$3:$N$13</definedName>
    <definedName name="_xlnm._FilterDatabase" localSheetId="1" hidden="1">Processes!$D$3:$L$3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I11" i="1" l="1"/>
  <c r="H11" i="1"/>
  <c r="I10" i="1"/>
  <c r="H10" i="1"/>
  <c r="D12" i="6"/>
  <c r="D9" i="6"/>
  <c r="I8" i="1" l="1"/>
  <c r="H8" i="1"/>
  <c r="I9" i="1"/>
  <c r="H9" i="1"/>
  <c r="I7" i="1"/>
  <c r="H7" i="1"/>
  <c r="I13" i="1"/>
  <c r="H13" i="1"/>
  <c r="H4" i="1" l="1"/>
  <c r="I4" i="1"/>
  <c r="H5" i="1"/>
  <c r="I5" i="1"/>
  <c r="H6" i="1"/>
  <c r="I6" i="1"/>
  <c r="H12" i="1"/>
  <c r="I12" i="1"/>
  <c r="D7" i="6" l="1"/>
  <c r="D11" i="6" l="1"/>
  <c r="D10" i="6"/>
  <c r="D8" i="6"/>
  <c r="D6" i="6"/>
  <c r="D5" i="6"/>
  <c r="F10" i="1" l="1"/>
  <c r="F11" i="1"/>
  <c r="C10" i="1"/>
  <c r="F13" i="1"/>
  <c r="C8" i="1"/>
  <c r="F8" i="1"/>
  <c r="C7" i="1"/>
  <c r="F7" i="1"/>
  <c r="C9" i="1"/>
  <c r="F9" i="1"/>
  <c r="C13" i="1"/>
  <c r="C5" i="1"/>
  <c r="C6" i="1"/>
  <c r="F5" i="1"/>
  <c r="C12" i="1"/>
  <c r="F4" i="1"/>
  <c r="F12" i="1"/>
  <c r="C4" i="1"/>
  <c r="F6" i="1"/>
</calcChain>
</file>

<file path=xl/sharedStrings.xml><?xml version="1.0" encoding="utf-8"?>
<sst xmlns="http://schemas.openxmlformats.org/spreadsheetml/2006/main" count="528" uniqueCount="246">
  <si>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</si>
  <si>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</si>
  <si>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</si>
  <si>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</si>
  <si>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</si>
  <si>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</si>
  <si>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</si>
  <si>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</si>
  <si>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</si>
  <si>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</si>
  <si>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</si>
  <si>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</si>
  <si>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</si>
  <si>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</si>
  <si>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</si>
  <si>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</si>
  <si>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</si>
  <si>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</si>
  <si>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</si>
  <si>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</si>
  <si>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</si>
  <si>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</si>
  <si>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</si>
  <si>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</si>
  <si>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</si>
  <si>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</si>
  <si>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</si>
  <si>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</si>
  <si>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</si>
  <si>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</si>
  <si>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</si>
  <si>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</si>
  <si>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</si>
  <si>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</si>
  <si>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</si>
  <si>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</si>
  <si>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</si>
  <si>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</si>
  <si>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</si>
  <si>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</si>
  <si>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</si>
  <si>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</si>
  <si>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</si>
  <si>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</si>
  <si>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</si>
  <si>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</si>
  <si>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</si>
  <si>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</si>
  <si>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</si>
  <si>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</si>
  <si>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</si>
  <si>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</si>
  <si>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</si>
  <si>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</si>
  <si>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</si>
  <si>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</si>
  <si>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</si>
  <si>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</si>
  <si>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</si>
  <si>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</si>
  <si>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</si>
  <si>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</si>
  <si>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</si>
  <si>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</si>
  <si>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</si>
  <si>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</si>
  <si>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</si>
  <si>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</si>
  <si>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</si>
  <si>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</si>
  <si>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</si>
  <si>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</si>
  <si>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</si>
  <si>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</si>
  <si>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</si>
  <si>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</si>
  <si>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</si>
  <si>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</si>
  <si>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</si>
  <si>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</si>
  <si>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</si>
  <si>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</si>
  <si>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</si>
  <si>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</si>
  <si>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</si>
  <si>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</si>
  <si>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</si>
  <si>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</si>
  <si>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</si>
  <si>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</si>
  <si>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</si>
  <si>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</si>
  <si>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</si>
  <si>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</si>
  <si>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</si>
  <si>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</si>
  <si>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</si>
  <si>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</si>
  <si>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</si>
  <si>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</si>
  <si>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</si>
  <si>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</si>
  <si>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</si>
  <si>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</si>
  <si>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</si>
  <si>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</si>
  <si>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</si>
  <si>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</si>
  <si>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</si>
  <si>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</si>
  <si>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</si>
  <si>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</si>
  <si>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</si>
  <si>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</si>
  <si>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</si>
  <si>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</si>
  <si>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</si>
  <si>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</si>
  <si>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</si>
  <si>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</si>
  <si>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</si>
  <si>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</si>
  <si>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</si>
  <si>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</si>
  <si>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</si>
  <si>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</si>
  <si>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</si>
  <si>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</si>
  <si>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</si>
  <si>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</si>
  <si>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</si>
  <si>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</si>
  <si>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</si>
  <si>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</si>
  <si>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</si>
  <si>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</si>
  <si>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</si>
  <si>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</si>
  <si>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</si>
  <si>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</si>
  <si>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</si>
  <si>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</si>
  <si>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</si>
  <si>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</si>
  <si>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</si>
  <si>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</si>
  <si>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</si>
  <si>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</si>
  <si>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</si>
  <si>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</si>
  <si>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</si>
  <si>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</si>
  <si>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</si>
  <si>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</si>
  <si>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</si>
  <si>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</si>
  <si>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</si>
  <si>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</si>
  <si>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</si>
  <si>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</si>
  <si>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</si>
  <si>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</si>
  <si>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</si>
  <si>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</si>
  <si>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</si>
  <si>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</si>
  <si>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</si>
  <si>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</si>
  <si>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</si>
  <si>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</si>
  <si>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</si>
  <si>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</si>
  <si>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</si>
  <si>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</si>
  <si>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</si>
  <si>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</si>
  <si>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</si>
  <si>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</si>
  <si>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</si>
  <si>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</si>
  <si>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</si>
  <si>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</si>
  <si>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</si>
  <si>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</si>
  <si>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</si>
  <si>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</si>
  <si>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</si>
  <si>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</si>
  <si>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</si>
  <si>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</si>
  <si>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</si>
  <si>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</si>
  <si>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</si>
  <si>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</si>
  <si>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</si>
  <si>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</si>
  <si>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</si>
  <si>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</si>
  <si>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</si>
  <si>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</si>
  <si>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</si>
  <si>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</si>
  <si>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</si>
  <si>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</si>
  <si>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</si>
  <si>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</si>
  <si>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</si>
  <si>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</si>
  <si>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</si>
  <si>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</si>
  <si>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</si>
  <si>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</si>
  <si>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</si>
  <si>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</si>
  <si>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</si>
  <si>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</si>
  <si>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</si>
  <si>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</si>
  <si>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</si>
  <si>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</si>
  <si>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</si>
  <si>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</si>
  <si>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</si>
  <si>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</si>
  <si>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</si>
  <si>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</si>
  <si>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</si>
  <si>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</si>
  <si>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</si>
  <si>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</si>
  <si>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abc</t>
  </si>
  <si>
    <t>Invalid Process ID</t>
  </si>
  <si>
    <t>INVALID:ID</t>
  </si>
  <si>
    <t>Invalid lifetime (empty)</t>
  </si>
  <si>
    <t>Invalid lifetime (zero)</t>
  </si>
  <si>
    <t>Invalid start year (empty)</t>
  </si>
  <si>
    <t>Invalid start year (before scenario start year)</t>
  </si>
  <si>
    <t>Invalid end year (after scenario end year)</t>
  </si>
  <si>
    <t>Invalid end year (before scenario start year)</t>
  </si>
  <si>
    <t>Invalid end year (empty)</t>
  </si>
  <si>
    <t>Invalid std_dev</t>
  </si>
  <si>
    <t>Invalid shape</t>
  </si>
  <si>
    <t>Invalid scale</t>
  </si>
  <si>
    <t>Invalid condition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</si>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</sst>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5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549330</xdr:colOff>
      <xdr:row>15</xdr:row>
      <xdr:rowOff>64113</xdr:rowOff>
    </xdr:from>
    <xdr:to>
      <xdr:col>8</xdr:col>
      <xdr:colOff>202129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B9" sqref="B9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6" t="s">
        <v>58</v>
      </c>
    </row>
    <row r="3" spans="2:5" x14ac:dyDescent="0.25">
      <c r="B3" s="18" t="s">
        <v>77</v>
      </c>
    </row>
    <row r="4" spans="2:5" x14ac:dyDescent="0.25">
      <c r="B4" t="s">
        <v>76</v>
      </c>
      <c r="C4" s="18"/>
      <c r="D4" s="18"/>
      <c r="E4" s="18"/>
    </row>
    <row r="6" spans="2:5" x14ac:dyDescent="0.25">
      <c r="B6" s="6" t="s">
        <v>59</v>
      </c>
      <c r="C6" s="6" t="s">
        <v>54</v>
      </c>
      <c r="D6" s="6" t="s">
        <v>78</v>
      </c>
      <c r="E6" s="6" t="s">
        <v>3</v>
      </c>
    </row>
    <row r="7" spans="2:5" x14ac:dyDescent="0.25">
      <c r="B7" t="s">
        <v>244</v>
      </c>
      <c r="C7" s="19">
        <v>2</v>
      </c>
      <c r="D7" s="20" t="s">
        <v>88</v>
      </c>
      <c r="E7" t="s">
        <v>245</v>
      </c>
    </row>
    <row r="8" spans="2:5" x14ac:dyDescent="0.25">
      <c r="B8" t="s">
        <v>60</v>
      </c>
      <c r="C8" s="20" t="s">
        <v>1</v>
      </c>
      <c r="D8" s="20" t="s">
        <v>88</v>
      </c>
      <c r="E8" t="s">
        <v>228</v>
      </c>
    </row>
    <row r="9" spans="2:5" x14ac:dyDescent="0.25">
      <c r="B9" t="s">
        <v>146</v>
      </c>
      <c r="C9" t="s">
        <v>172</v>
      </c>
      <c r="D9" t="s">
        <v>121</v>
      </c>
      <c r="E9" t="s">
        <v>148</v>
      </c>
    </row>
    <row r="10" spans="2:5" x14ac:dyDescent="0.25">
      <c r="B10" t="s">
        <v>61</v>
      </c>
      <c r="C10" s="19">
        <v>2</v>
      </c>
      <c r="D10" s="19" t="s">
        <v>86</v>
      </c>
      <c r="E10" t="s">
        <v>64</v>
      </c>
    </row>
    <row r="11" spans="2:5" x14ac:dyDescent="0.25">
      <c r="B11" t="s">
        <v>62</v>
      </c>
      <c r="C11" s="20" t="s">
        <v>2</v>
      </c>
      <c r="D11" s="20" t="s">
        <v>87</v>
      </c>
      <c r="E11" t="s">
        <v>227</v>
      </c>
    </row>
    <row r="12" spans="2:5" x14ac:dyDescent="0.25">
      <c r="B12" t="s">
        <v>147</v>
      </c>
      <c r="C12" t="s">
        <v>172</v>
      </c>
      <c r="D12" t="s">
        <v>121</v>
      </c>
      <c r="E12" t="s">
        <v>149</v>
      </c>
    </row>
    <row r="13" spans="2:5" x14ac:dyDescent="0.25">
      <c r="B13" t="s">
        <v>63</v>
      </c>
      <c r="C13" s="19">
        <v>2</v>
      </c>
      <c r="D13" s="19" t="s">
        <v>86</v>
      </c>
      <c r="E13" t="s">
        <v>64</v>
      </c>
    </row>
    <row r="14" spans="2:5" x14ac:dyDescent="0.25">
      <c r="B14" t="s">
        <v>65</v>
      </c>
      <c r="C14" s="19">
        <v>2021</v>
      </c>
      <c r="D14" s="19" t="s">
        <v>86</v>
      </c>
      <c r="E14" t="s">
        <v>66</v>
      </c>
    </row>
    <row r="15" spans="2:5" x14ac:dyDescent="0.25">
      <c r="B15" t="s">
        <v>67</v>
      </c>
      <c r="C15" s="19">
        <v>2030</v>
      </c>
      <c r="D15" s="19" t="s">
        <v>86</v>
      </c>
      <c r="E15" t="s">
        <v>75</v>
      </c>
    </row>
    <row r="16" spans="2:5" x14ac:dyDescent="0.25">
      <c r="B16" t="s">
        <v>68</v>
      </c>
      <c r="C16" s="21" t="b">
        <v>0</v>
      </c>
      <c r="D16" t="s">
        <v>85</v>
      </c>
      <c r="E16" t="s">
        <v>70</v>
      </c>
    </row>
    <row r="17" spans="1:5" x14ac:dyDescent="0.25">
      <c r="B17" t="s">
        <v>71</v>
      </c>
      <c r="C17" s="21" t="b">
        <v>1</v>
      </c>
      <c r="D17" t="s">
        <v>85</v>
      </c>
      <c r="E17" t="s">
        <v>72</v>
      </c>
    </row>
    <row r="18" spans="1:5" x14ac:dyDescent="0.25">
      <c r="B18" t="s">
        <v>79</v>
      </c>
      <c r="C18" s="11">
        <v>0.1</v>
      </c>
      <c r="D18" s="19" t="s">
        <v>89</v>
      </c>
      <c r="E18" t="s">
        <v>80</v>
      </c>
    </row>
    <row r="19" spans="1:5" x14ac:dyDescent="0.25">
      <c r="A19" t="s">
        <v>189</v>
      </c>
      <c r="B19" t="s">
        <v>163</v>
      </c>
      <c r="C19" t="s">
        <v>171</v>
      </c>
      <c r="D19" t="s">
        <v>87</v>
      </c>
      <c r="E19" t="s">
        <v>166</v>
      </c>
    </row>
    <row r="20" spans="1:5" x14ac:dyDescent="0.25">
      <c r="A20" t="s">
        <v>189</v>
      </c>
      <c r="B20" t="s">
        <v>164</v>
      </c>
      <c r="C20" t="s">
        <v>167</v>
      </c>
      <c r="D20" t="s">
        <v>87</v>
      </c>
      <c r="E20" t="s">
        <v>165</v>
      </c>
    </row>
    <row r="21" spans="1:5" x14ac:dyDescent="0.25">
      <c r="A21" t="s">
        <v>189</v>
      </c>
      <c r="B21" t="s">
        <v>73</v>
      </c>
      <c r="C21" s="17">
        <v>-3.6666666666666701</v>
      </c>
      <c r="D21" s="17" t="s">
        <v>89</v>
      </c>
      <c r="E21" t="s">
        <v>74</v>
      </c>
    </row>
    <row r="22" spans="1:5" x14ac:dyDescent="0.25">
      <c r="A22" t="s">
        <v>189</v>
      </c>
      <c r="B22" t="s">
        <v>83</v>
      </c>
      <c r="C22" s="21" t="b">
        <v>1</v>
      </c>
      <c r="D22" t="s">
        <v>85</v>
      </c>
      <c r="E22" t="s">
        <v>84</v>
      </c>
    </row>
    <row r="23" spans="1:5" x14ac:dyDescent="0.25">
      <c r="A23" t="s">
        <v>189</v>
      </c>
      <c r="B23" t="s">
        <v>82</v>
      </c>
      <c r="C23" s="21" t="b">
        <v>1</v>
      </c>
      <c r="D23" t="s">
        <v>85</v>
      </c>
      <c r="E23" t="s">
        <v>84</v>
      </c>
    </row>
    <row r="24" spans="1:5" x14ac:dyDescent="0.25">
      <c r="A24" t="s">
        <v>189</v>
      </c>
      <c r="B24" t="s">
        <v>90</v>
      </c>
      <c r="C24" t="s">
        <v>93</v>
      </c>
      <c r="D24" t="s">
        <v>88</v>
      </c>
      <c r="E24" t="s">
        <v>111</v>
      </c>
    </row>
    <row r="25" spans="1:5" x14ac:dyDescent="0.25">
      <c r="A25" t="s">
        <v>189</v>
      </c>
      <c r="B25" t="s">
        <v>175</v>
      </c>
      <c r="C25" s="21" t="b">
        <v>1</v>
      </c>
      <c r="D25" t="s">
        <v>85</v>
      </c>
      <c r="E25" t="s">
        <v>176</v>
      </c>
    </row>
    <row r="26" spans="1:5" x14ac:dyDescent="0.25">
      <c r="A26" t="s">
        <v>189</v>
      </c>
      <c r="B26" t="s">
        <v>184</v>
      </c>
      <c r="C26" t="s">
        <v>186</v>
      </c>
      <c r="D26" t="s">
        <v>88</v>
      </c>
      <c r="E26" t="s">
        <v>188</v>
      </c>
    </row>
    <row r="27" spans="1:5" x14ac:dyDescent="0.25">
      <c r="A27" t="s">
        <v>189</v>
      </c>
      <c r="B27" t="s">
        <v>96</v>
      </c>
      <c r="C27" t="s">
        <v>97</v>
      </c>
      <c r="D27" t="s">
        <v>87</v>
      </c>
      <c r="E27" t="s">
        <v>226</v>
      </c>
    </row>
    <row r="28" spans="1:5" x14ac:dyDescent="0.25">
      <c r="A28" t="s">
        <v>189</v>
      </c>
      <c r="B28" t="s">
        <v>153</v>
      </c>
      <c r="D28" t="s">
        <v>121</v>
      </c>
      <c r="E28" t="s">
        <v>155</v>
      </c>
    </row>
    <row r="29" spans="1:5" x14ac:dyDescent="0.25">
      <c r="A29" t="s">
        <v>189</v>
      </c>
      <c r="B29" t="s">
        <v>98</v>
      </c>
      <c r="C29" s="21" t="b">
        <v>1</v>
      </c>
      <c r="D29" t="s">
        <v>85</v>
      </c>
      <c r="E29" t="s">
        <v>99</v>
      </c>
    </row>
    <row r="30" spans="1:5" x14ac:dyDescent="0.25">
      <c r="A30" t="s">
        <v>189</v>
      </c>
      <c r="B30" t="s">
        <v>100</v>
      </c>
      <c r="C30" s="21" t="b">
        <v>1</v>
      </c>
      <c r="D30" t="s">
        <v>85</v>
      </c>
      <c r="E30" t="s">
        <v>101</v>
      </c>
    </row>
    <row r="31" spans="1:5" x14ac:dyDescent="0.25">
      <c r="A31" t="s">
        <v>189</v>
      </c>
      <c r="B31" t="s">
        <v>119</v>
      </c>
      <c r="C31" t="s">
        <v>122</v>
      </c>
      <c r="D31" t="s">
        <v>121</v>
      </c>
      <c r="E31" t="s">
        <v>120</v>
      </c>
    </row>
    <row r="32" spans="1:5" x14ac:dyDescent="0.25">
      <c r="A32" t="s">
        <v>189</v>
      </c>
      <c r="B32" t="s">
        <v>139</v>
      </c>
      <c r="C32" s="19" t="s">
        <v>140</v>
      </c>
      <c r="D32" s="19" t="s">
        <v>87</v>
      </c>
      <c r="E32" t="s">
        <v>225</v>
      </c>
    </row>
    <row r="33" spans="1:5" x14ac:dyDescent="0.25">
      <c r="A33" t="s">
        <v>189</v>
      </c>
      <c r="B33" t="s">
        <v>154</v>
      </c>
      <c r="D33" t="s">
        <v>121</v>
      </c>
      <c r="E33" t="s">
        <v>156</v>
      </c>
    </row>
    <row r="34" spans="1:5" ht="15.75" customHeight="1" x14ac:dyDescent="0.25">
      <c r="A34" t="s">
        <v>189</v>
      </c>
      <c r="B34" t="s">
        <v>178</v>
      </c>
      <c r="D34" t="s">
        <v>121</v>
      </c>
      <c r="E34" t="s">
        <v>181</v>
      </c>
    </row>
    <row r="35" spans="1:5" x14ac:dyDescent="0.25">
      <c r="A35" t="s">
        <v>189</v>
      </c>
      <c r="B35" t="s">
        <v>229</v>
      </c>
      <c r="D35" t="s">
        <v>121</v>
      </c>
      <c r="E35" t="s">
        <v>180</v>
      </c>
    </row>
    <row r="36" spans="1:5" x14ac:dyDescent="0.25">
      <c r="A36" t="s">
        <v>189</v>
      </c>
      <c r="B36" t="s">
        <v>190</v>
      </c>
      <c r="C36" t="s">
        <v>191</v>
      </c>
      <c r="D36" t="s">
        <v>87</v>
      </c>
      <c r="E36" t="s">
        <v>224</v>
      </c>
    </row>
    <row r="37" spans="1:5" x14ac:dyDescent="0.25">
      <c r="A37" t="s">
        <v>189</v>
      </c>
      <c r="B37" t="s">
        <v>200</v>
      </c>
      <c r="C37" t="s">
        <v>201</v>
      </c>
      <c r="D37" t="s">
        <v>87</v>
      </c>
      <c r="E37" t="s">
        <v>202</v>
      </c>
    </row>
    <row r="38" spans="1:5" x14ac:dyDescent="0.25">
      <c r="A38" t="s">
        <v>189</v>
      </c>
      <c r="B38" t="s">
        <v>203</v>
      </c>
      <c r="C38" s="21" t="b">
        <v>1</v>
      </c>
      <c r="D38" t="s">
        <v>85</v>
      </c>
      <c r="E38" t="s">
        <v>204</v>
      </c>
    </row>
    <row r="39" spans="1:5" x14ac:dyDescent="0.25">
      <c r="A39" t="s">
        <v>189</v>
      </c>
      <c r="B39" t="s">
        <v>215</v>
      </c>
      <c r="C39" s="21" t="b">
        <v>1</v>
      </c>
      <c r="D39" t="s">
        <v>85</v>
      </c>
      <c r="E39" t="s">
        <v>216</v>
      </c>
    </row>
    <row r="40" spans="1:5" x14ac:dyDescent="0.25">
      <c r="A40" t="s">
        <v>189</v>
      </c>
      <c r="B40" t="s">
        <v>217</v>
      </c>
      <c r="C40" t="s">
        <v>218</v>
      </c>
      <c r="D40" t="s">
        <v>87</v>
      </c>
      <c r="E40" t="s">
        <v>223</v>
      </c>
    </row>
    <row r="41" spans="1:5" x14ac:dyDescent="0.25">
      <c r="A41" t="s">
        <v>189</v>
      </c>
      <c r="B41" t="s">
        <v>219</v>
      </c>
      <c r="C41" t="s">
        <v>172</v>
      </c>
      <c r="D41" t="s">
        <v>121</v>
      </c>
      <c r="E41" t="s">
        <v>220</v>
      </c>
    </row>
    <row r="42" spans="1:5" x14ac:dyDescent="0.25">
      <c r="A42" t="s">
        <v>189</v>
      </c>
      <c r="B42" t="s">
        <v>221</v>
      </c>
      <c r="C42">
        <v>2</v>
      </c>
      <c r="D42" t="s">
        <v>86</v>
      </c>
      <c r="E42" t="s">
        <v>222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8"/>
  <sheetViews>
    <sheetView topLeftCell="C1" zoomScaleNormal="100" workbookViewId="0">
      <selection activeCell="N4" sqref="N4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2.5703125" bestFit="1" customWidth="1"/>
    <col min="8" max="8" width="25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57</v>
      </c>
      <c r="I1" s="2" t="s">
        <v>5</v>
      </c>
      <c r="J1" s="2" t="s">
        <v>20</v>
      </c>
      <c r="K1" s="2" t="s">
        <v>7</v>
      </c>
      <c r="L1" s="2" t="s">
        <v>5</v>
      </c>
    </row>
    <row r="2" spans="1:12" x14ac:dyDescent="0.25">
      <c r="A2" s="1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4" customFormat="1" ht="60" x14ac:dyDescent="0.25">
      <c r="A3" s="12" t="s">
        <v>173</v>
      </c>
      <c r="B3" s="13" t="s">
        <v>55</v>
      </c>
      <c r="C3" s="13" t="s">
        <v>150</v>
      </c>
      <c r="D3" s="13" t="s">
        <v>38</v>
      </c>
      <c r="E3" s="13" t="s">
        <v>151</v>
      </c>
      <c r="F3" s="13" t="s">
        <v>56</v>
      </c>
      <c r="G3" s="13" t="s">
        <v>81</v>
      </c>
      <c r="H3" s="13" t="s">
        <v>152</v>
      </c>
      <c r="I3" s="13" t="s">
        <v>19</v>
      </c>
      <c r="J3" s="1" t="s">
        <v>17</v>
      </c>
      <c r="K3" s="13" t="s">
        <v>18</v>
      </c>
      <c r="L3" s="13" t="s">
        <v>21</v>
      </c>
    </row>
    <row r="4" spans="1:12" x14ac:dyDescent="0.25">
      <c r="A4">
        <v>0</v>
      </c>
      <c r="B4" t="s">
        <v>25</v>
      </c>
      <c r="C4" t="s">
        <v>24</v>
      </c>
      <c r="D4" t="str">
        <f t="shared" ref="D4:D12" si="0">_xlfn.CONCAT(B4,":",C4)</f>
        <v>Industrial_roundwood:FI</v>
      </c>
      <c r="E4" t="s">
        <v>11</v>
      </c>
      <c r="F4">
        <v>0</v>
      </c>
      <c r="G4" t="s">
        <v>50</v>
      </c>
      <c r="J4">
        <v>3.6999999999999998E-2</v>
      </c>
      <c r="K4">
        <v>0.34699999999999998</v>
      </c>
      <c r="L4" t="s">
        <v>123</v>
      </c>
    </row>
    <row r="5" spans="1:12" x14ac:dyDescent="0.25">
      <c r="A5">
        <v>1</v>
      </c>
      <c r="B5" t="s">
        <v>27</v>
      </c>
      <c r="C5" t="s">
        <v>24</v>
      </c>
      <c r="D5" t="str">
        <f t="shared" si="0"/>
        <v>Sawmilling:FI</v>
      </c>
      <c r="E5" t="s">
        <v>12</v>
      </c>
      <c r="F5">
        <v>0</v>
      </c>
      <c r="G5" t="s">
        <v>50</v>
      </c>
      <c r="J5">
        <v>0.24299999999999999</v>
      </c>
      <c r="K5">
        <v>0.39200000000000002</v>
      </c>
      <c r="L5" t="s">
        <v>124</v>
      </c>
    </row>
    <row r="6" spans="1:12" x14ac:dyDescent="0.25">
      <c r="A6">
        <v>2</v>
      </c>
      <c r="B6" t="s">
        <v>30</v>
      </c>
      <c r="C6" t="s">
        <v>24</v>
      </c>
      <c r="D6" t="str">
        <f t="shared" si="0"/>
        <v>Residues:FI</v>
      </c>
      <c r="E6" t="s">
        <v>33</v>
      </c>
      <c r="F6">
        <v>0</v>
      </c>
      <c r="G6" t="s">
        <v>50</v>
      </c>
      <c r="J6">
        <v>0.40899999999999997</v>
      </c>
      <c r="K6">
        <v>0.05</v>
      </c>
      <c r="L6" t="s">
        <v>125</v>
      </c>
    </row>
    <row r="7" spans="1:12" x14ac:dyDescent="0.25">
      <c r="A7">
        <v>3</v>
      </c>
      <c r="B7" t="s">
        <v>26</v>
      </c>
      <c r="C7" t="s">
        <v>24</v>
      </c>
      <c r="D7" t="str">
        <f t="shared" si="0"/>
        <v>Sawnwood:FI</v>
      </c>
      <c r="E7" t="s">
        <v>13</v>
      </c>
      <c r="F7">
        <v>0</v>
      </c>
      <c r="G7" t="s">
        <v>50</v>
      </c>
      <c r="J7">
        <v>0.40899999999999997</v>
      </c>
      <c r="K7">
        <v>0.53200000000000003</v>
      </c>
      <c r="L7" t="s">
        <v>126</v>
      </c>
    </row>
    <row r="8" spans="1:12" ht="14.45" customHeight="1" x14ac:dyDescent="0.25">
      <c r="A8">
        <v>4</v>
      </c>
      <c r="B8" t="s">
        <v>28</v>
      </c>
      <c r="C8" t="s">
        <v>24</v>
      </c>
      <c r="D8" t="str">
        <f t="shared" si="0"/>
        <v>Construction:FI</v>
      </c>
      <c r="E8" t="s">
        <v>34</v>
      </c>
      <c r="F8">
        <v>10</v>
      </c>
      <c r="G8" t="s">
        <v>35</v>
      </c>
      <c r="H8" t="s">
        <v>179</v>
      </c>
      <c r="J8">
        <v>0.752</v>
      </c>
      <c r="K8">
        <v>0.44400000000000001</v>
      </c>
      <c r="L8" t="s">
        <v>127</v>
      </c>
    </row>
    <row r="9" spans="1:12" ht="14.45" customHeight="1" x14ac:dyDescent="0.25">
      <c r="A9">
        <v>5</v>
      </c>
      <c r="B9" t="s">
        <v>29</v>
      </c>
      <c r="C9" t="s">
        <v>24</v>
      </c>
      <c r="D9" t="str">
        <f t="shared" si="0"/>
        <v>Furniture:FI</v>
      </c>
      <c r="E9" t="s">
        <v>34</v>
      </c>
      <c r="F9">
        <v>5</v>
      </c>
      <c r="G9" t="s">
        <v>35</v>
      </c>
      <c r="H9" t="s">
        <v>179</v>
      </c>
      <c r="J9">
        <v>0.65600000000000003</v>
      </c>
      <c r="K9">
        <v>0.77300000000000002</v>
      </c>
      <c r="L9" t="s">
        <v>131</v>
      </c>
    </row>
    <row r="10" spans="1:12" x14ac:dyDescent="0.25">
      <c r="A10">
        <v>6</v>
      </c>
      <c r="B10" t="s">
        <v>26</v>
      </c>
      <c r="C10" t="s">
        <v>15</v>
      </c>
      <c r="D10" t="str">
        <f t="shared" si="0"/>
        <v>Sawnwood:Import</v>
      </c>
      <c r="E10" t="s">
        <v>14</v>
      </c>
      <c r="F10">
        <v>0</v>
      </c>
      <c r="G10" t="s">
        <v>50</v>
      </c>
      <c r="J10">
        <v>0.24299999999999999</v>
      </c>
      <c r="K10">
        <v>0.9</v>
      </c>
      <c r="L10" t="s">
        <v>128</v>
      </c>
    </row>
    <row r="11" spans="1:12" x14ac:dyDescent="0.25">
      <c r="A11">
        <v>7</v>
      </c>
      <c r="B11" t="s">
        <v>26</v>
      </c>
      <c r="C11" t="s">
        <v>16</v>
      </c>
      <c r="D11" t="str">
        <f t="shared" si="0"/>
        <v>Sawnwood:Export</v>
      </c>
      <c r="E11" t="s">
        <v>14</v>
      </c>
      <c r="F11">
        <v>0</v>
      </c>
      <c r="G11" t="s">
        <v>50</v>
      </c>
      <c r="J11">
        <v>0.69099999999999995</v>
      </c>
      <c r="K11">
        <v>0.16500000000000001</v>
      </c>
      <c r="L11" t="s">
        <v>129</v>
      </c>
    </row>
    <row r="12" spans="1:12" x14ac:dyDescent="0.25">
      <c r="A12">
        <v>8</v>
      </c>
      <c r="B12" t="s">
        <v>31</v>
      </c>
      <c r="C12" t="s">
        <v>24</v>
      </c>
      <c r="D12" t="str">
        <f t="shared" si="0"/>
        <v>Incineration:FI</v>
      </c>
      <c r="E12" t="s">
        <v>32</v>
      </c>
      <c r="F12">
        <v>0</v>
      </c>
      <c r="G12" t="s">
        <v>50</v>
      </c>
      <c r="J12">
        <v>0.96599999999999997</v>
      </c>
      <c r="K12">
        <v>0.48299999999999998</v>
      </c>
      <c r="L12" t="s">
        <v>130</v>
      </c>
    </row>
    <row r="18" ht="15.6" customHeight="1" x14ac:dyDescent="0.25"/>
  </sheetData>
  <phoneticPr fontId="4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N91"/>
  <sheetViews>
    <sheetView topLeftCell="A2" zoomScaleNormal="100" workbookViewId="0">
      <selection activeCell="B3" sqref="B3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5.7109375" customWidth="1"/>
    <col min="14" max="14" width="42" customWidth="1"/>
  </cols>
  <sheetData>
    <row r="1" spans="1:14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7</v>
      </c>
      <c r="N1" s="2" t="s">
        <v>5</v>
      </c>
    </row>
    <row r="2" spans="1:14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22</v>
      </c>
      <c r="L2" s="2"/>
      <c r="M2" s="2" t="s">
        <v>169</v>
      </c>
      <c r="N2" s="2"/>
    </row>
    <row r="3" spans="1:14" ht="59.25" customHeight="1" x14ac:dyDescent="0.25">
      <c r="A3" s="12" t="s">
        <v>174</v>
      </c>
      <c r="B3" s="6" t="s">
        <v>157</v>
      </c>
      <c r="C3" s="6" t="s">
        <v>151</v>
      </c>
      <c r="D3" s="6" t="s">
        <v>158</v>
      </c>
      <c r="E3" s="6" t="s">
        <v>159</v>
      </c>
      <c r="F3" s="6" t="s">
        <v>151</v>
      </c>
      <c r="G3" s="6" t="s">
        <v>160</v>
      </c>
      <c r="H3" s="6" t="s">
        <v>161</v>
      </c>
      <c r="I3" s="6" t="s">
        <v>162</v>
      </c>
      <c r="J3" s="6" t="s">
        <v>54</v>
      </c>
      <c r="K3" s="6" t="s">
        <v>8</v>
      </c>
      <c r="L3" s="6" t="s">
        <v>23</v>
      </c>
      <c r="M3" s="8" t="s">
        <v>168</v>
      </c>
      <c r="N3" s="9" t="s">
        <v>10</v>
      </c>
    </row>
    <row r="4" spans="1:14" x14ac:dyDescent="0.25">
      <c r="A4" t="s">
        <v>40</v>
      </c>
      <c r="B4" t="s">
        <v>25</v>
      </c>
      <c r="C4" t="str">
        <f>+_xlfn.XLOOKUP(H4,Processes!$D$4:$D$47,Processes!$E$4:$E$47)</f>
        <v>Source</v>
      </c>
      <c r="D4" t="s">
        <v>24</v>
      </c>
      <c r="E4" t="s">
        <v>27</v>
      </c>
      <c r="F4" t="str">
        <f>+_xlfn.XLOOKUP(I4,Processes!$D$4:$D$47,Processes!$E$4:$E$47)</f>
        <v>First</v>
      </c>
      <c r="G4" t="s">
        <v>24</v>
      </c>
      <c r="H4" s="3" t="str">
        <f t="shared" ref="H4:H13" si="0">_xlfn.CONCAT(B4,":",D4)</f>
        <v>Industrial_roundwood:FI</v>
      </c>
      <c r="I4" s="3" t="str">
        <f t="shared" ref="I4:I13" si="1">_xlfn.CONCAT(E4,":",G4)</f>
        <v>Sawmilling:FI</v>
      </c>
      <c r="J4">
        <v>60</v>
      </c>
      <c r="K4" t="s">
        <v>39</v>
      </c>
      <c r="L4">
        <v>2021</v>
      </c>
      <c r="N4" s="10"/>
    </row>
    <row r="5" spans="1:14" x14ac:dyDescent="0.25">
      <c r="A5" t="s">
        <v>41</v>
      </c>
      <c r="B5" t="s">
        <v>27</v>
      </c>
      <c r="C5" t="str">
        <f>+_xlfn.XLOOKUP(H5,Processes!$D$4:$D$47,Processes!$E$4:$E$47)</f>
        <v>First</v>
      </c>
      <c r="D5" t="s">
        <v>24</v>
      </c>
      <c r="E5" t="s">
        <v>26</v>
      </c>
      <c r="F5" t="str">
        <f>+_xlfn.XLOOKUP(I5,Processes!$D$4:$D$47,Processes!$E$4:$E$47)</f>
        <v>Second</v>
      </c>
      <c r="G5" t="s">
        <v>24</v>
      </c>
      <c r="H5" s="3" t="str">
        <f t="shared" si="0"/>
        <v>Sawmilling:FI</v>
      </c>
      <c r="I5" s="3" t="str">
        <f t="shared" si="1"/>
        <v>Sawnwood:FI</v>
      </c>
      <c r="J5">
        <v>100</v>
      </c>
      <c r="K5" t="s">
        <v>9</v>
      </c>
      <c r="L5">
        <v>2021</v>
      </c>
      <c r="N5" s="10"/>
    </row>
    <row r="6" spans="1:14" x14ac:dyDescent="0.25">
      <c r="A6" t="s">
        <v>42</v>
      </c>
      <c r="B6" t="s">
        <v>27</v>
      </c>
      <c r="C6" t="str">
        <f>+_xlfn.XLOOKUP(H6,Processes!$D$4:$D$47,Processes!$E$4:$E$47)</f>
        <v>First</v>
      </c>
      <c r="D6" t="s">
        <v>24</v>
      </c>
      <c r="E6" t="s">
        <v>30</v>
      </c>
      <c r="F6" t="str">
        <f>+_xlfn.XLOOKUP(I6,Processes!$D$4:$D$47,Processes!$E$4:$E$47)</f>
        <v>by_prod</v>
      </c>
      <c r="G6" t="s">
        <v>24</v>
      </c>
      <c r="H6" s="3" t="str">
        <f t="shared" si="0"/>
        <v>Sawmilling:FI</v>
      </c>
      <c r="I6" s="3" t="str">
        <f t="shared" si="1"/>
        <v>Residues:FI</v>
      </c>
      <c r="J6">
        <v>10</v>
      </c>
      <c r="K6" t="s">
        <v>39</v>
      </c>
      <c r="L6">
        <v>2021</v>
      </c>
      <c r="N6" s="10"/>
    </row>
    <row r="7" spans="1:14" x14ac:dyDescent="0.25">
      <c r="A7" t="s">
        <v>47</v>
      </c>
      <c r="B7" t="s">
        <v>26</v>
      </c>
      <c r="C7" t="str">
        <f>+_xlfn.XLOOKUP(H7,Processes!$D$4:$D$47,Processes!$E$4:$E$47)</f>
        <v>Second</v>
      </c>
      <c r="D7" t="s">
        <v>24</v>
      </c>
      <c r="E7" t="s">
        <v>28</v>
      </c>
      <c r="F7" t="str">
        <f>+_xlfn.XLOOKUP(I7,Processes!$D$4:$D$47,Processes!$E$4:$E$47)</f>
        <v>VAM</v>
      </c>
      <c r="G7" t="s">
        <v>24</v>
      </c>
      <c r="H7" s="3" t="str">
        <f t="shared" si="0"/>
        <v>Sawnwood:FI</v>
      </c>
      <c r="I7" s="3" t="str">
        <f t="shared" si="1"/>
        <v>Construction:FI</v>
      </c>
      <c r="J7">
        <v>60</v>
      </c>
      <c r="K7" t="s">
        <v>9</v>
      </c>
      <c r="L7">
        <v>2021</v>
      </c>
      <c r="M7">
        <v>0.22500000000000001</v>
      </c>
    </row>
    <row r="8" spans="1:14" ht="18.95" customHeight="1" x14ac:dyDescent="0.25">
      <c r="A8" t="s">
        <v>43</v>
      </c>
      <c r="B8" t="s">
        <v>26</v>
      </c>
      <c r="C8" t="str">
        <f>+_xlfn.XLOOKUP(H8,Processes!$D$4:$D$47,Processes!$E$4:$E$47)</f>
        <v>Second</v>
      </c>
      <c r="D8" t="s">
        <v>24</v>
      </c>
      <c r="E8" t="s">
        <v>29</v>
      </c>
      <c r="F8" t="str">
        <f>+_xlfn.XLOOKUP(I8,Processes!$D$4:$D$47,Processes!$E$4:$E$47)</f>
        <v>VAM</v>
      </c>
      <c r="G8" t="s">
        <v>24</v>
      </c>
      <c r="H8" s="3" t="str">
        <f>_xlfn.CONCAT(B8,":",D8)</f>
        <v>Sawnwood:FI</v>
      </c>
      <c r="I8" s="3" t="str">
        <f>_xlfn.CONCAT(E8,":",G8)</f>
        <v>Furniture:FI</v>
      </c>
      <c r="J8">
        <v>40</v>
      </c>
      <c r="K8" t="s">
        <v>9</v>
      </c>
      <c r="L8">
        <v>2021</v>
      </c>
      <c r="M8">
        <v>0.22500000000000001</v>
      </c>
    </row>
    <row r="9" spans="1:14" x14ac:dyDescent="0.25">
      <c r="A9" t="s">
        <v>44</v>
      </c>
      <c r="B9" t="s">
        <v>28</v>
      </c>
      <c r="C9" t="str">
        <f>+_xlfn.XLOOKUP(H9,Processes!$D$4:$D$47,Processes!$E$4:$E$47)</f>
        <v>VAM</v>
      </c>
      <c r="D9" t="s">
        <v>24</v>
      </c>
      <c r="E9" t="s">
        <v>27</v>
      </c>
      <c r="F9" t="str">
        <f>+_xlfn.XLOOKUP(I9,Processes!$D$4:$D$47,Processes!$E$4:$E$47)</f>
        <v>First</v>
      </c>
      <c r="G9" t="s">
        <v>24</v>
      </c>
      <c r="H9" s="3" t="str">
        <f t="shared" si="0"/>
        <v>Construction:FI</v>
      </c>
      <c r="I9" s="3" t="str">
        <f t="shared" si="1"/>
        <v>Sawmilling:FI</v>
      </c>
      <c r="J9">
        <v>40</v>
      </c>
      <c r="K9" t="s">
        <v>9</v>
      </c>
      <c r="L9">
        <v>2021</v>
      </c>
    </row>
    <row r="10" spans="1:14" ht="15.6" customHeight="1" x14ac:dyDescent="0.25">
      <c r="A10" t="s">
        <v>45</v>
      </c>
      <c r="B10" t="s">
        <v>28</v>
      </c>
      <c r="C10" t="str">
        <f>+_xlfn.XLOOKUP(H10,Processes!$D$4:$D$47,Processes!$E$4:$E$47)</f>
        <v>VAM</v>
      </c>
      <c r="D10" t="s">
        <v>24</v>
      </c>
      <c r="E10" t="s">
        <v>31</v>
      </c>
      <c r="F10" t="str">
        <f>+_xlfn.XLOOKUP(I10,Processes!$D$4:$D$47,Processes!$E$4:$E$47)</f>
        <v>EoL</v>
      </c>
      <c r="G10" t="s">
        <v>24</v>
      </c>
      <c r="H10" s="3" t="str">
        <f t="shared" si="0"/>
        <v>Construction:FI</v>
      </c>
      <c r="I10" s="3" t="str">
        <f t="shared" si="1"/>
        <v>Incineration:FI</v>
      </c>
      <c r="J10">
        <v>60</v>
      </c>
      <c r="K10" t="s">
        <v>9</v>
      </c>
      <c r="L10">
        <v>2021</v>
      </c>
    </row>
    <row r="11" spans="1:14" x14ac:dyDescent="0.25">
      <c r="A11" t="s">
        <v>46</v>
      </c>
      <c r="B11" t="s">
        <v>29</v>
      </c>
      <c r="C11" t="s">
        <v>34</v>
      </c>
      <c r="D11" t="s">
        <v>24</v>
      </c>
      <c r="E11" t="s">
        <v>31</v>
      </c>
      <c r="F11" t="str">
        <f>+_xlfn.XLOOKUP(I11,Processes!$D$4:$D$47,Processes!$E$4:$E$47)</f>
        <v>EoL</v>
      </c>
      <c r="G11" t="s">
        <v>24</v>
      </c>
      <c r="H11" s="3" t="str">
        <f t="shared" si="0"/>
        <v>Furniture:FI</v>
      </c>
      <c r="I11" s="3" t="str">
        <f t="shared" si="1"/>
        <v>Incineration:FI</v>
      </c>
      <c r="J11">
        <v>100</v>
      </c>
      <c r="K11" t="s">
        <v>9</v>
      </c>
      <c r="L11">
        <v>2021</v>
      </c>
      <c r="N11" s="10"/>
    </row>
    <row r="12" spans="1:14" x14ac:dyDescent="0.25">
      <c r="A12" t="s">
        <v>48</v>
      </c>
      <c r="B12" t="s">
        <v>26</v>
      </c>
      <c r="C12" t="str">
        <f>+_xlfn.XLOOKUP(H12,Processes!$D$4:$D$47,Processes!$E$4:$E$47)</f>
        <v>Second</v>
      </c>
      <c r="D12" t="s">
        <v>24</v>
      </c>
      <c r="E12" t="s">
        <v>26</v>
      </c>
      <c r="F12" t="str">
        <f>+_xlfn.XLOOKUP(I12,Processes!$D$4:$D$47,Processes!$E$4:$E$47)</f>
        <v>RoW</v>
      </c>
      <c r="G12" t="s">
        <v>16</v>
      </c>
      <c r="H12" s="3" t="str">
        <f t="shared" si="0"/>
        <v>Sawnwood:FI</v>
      </c>
      <c r="I12" s="3" t="str">
        <f t="shared" si="1"/>
        <v>Sawnwood:Export</v>
      </c>
      <c r="J12">
        <v>20</v>
      </c>
      <c r="K12" t="s">
        <v>39</v>
      </c>
      <c r="L12">
        <v>2021</v>
      </c>
      <c r="N12" s="10"/>
    </row>
    <row r="13" spans="1:14" x14ac:dyDescent="0.25">
      <c r="A13" t="s">
        <v>49</v>
      </c>
      <c r="B13" t="s">
        <v>26</v>
      </c>
      <c r="C13" t="str">
        <f>+_xlfn.XLOOKUP(H13,Processes!$D$4:$D$47,Processes!$E$4:$E$47)</f>
        <v>RoW</v>
      </c>
      <c r="D13" t="s">
        <v>15</v>
      </c>
      <c r="E13" t="s">
        <v>26</v>
      </c>
      <c r="F13" t="str">
        <f>+_xlfn.XLOOKUP(I13,Processes!$D$4:$D$47,Processes!$E$4:$E$47)</f>
        <v>Second</v>
      </c>
      <c r="G13" t="s">
        <v>24</v>
      </c>
      <c r="H13" s="3" t="str">
        <f t="shared" si="0"/>
        <v>Sawnwood:Import</v>
      </c>
      <c r="I13" s="3" t="str">
        <f t="shared" si="1"/>
        <v>Sawnwood:FI</v>
      </c>
      <c r="J13">
        <v>10</v>
      </c>
      <c r="K13" t="s">
        <v>39</v>
      </c>
      <c r="L13">
        <v>2021</v>
      </c>
      <c r="N13" s="10"/>
    </row>
    <row r="14" spans="1:14" x14ac:dyDescent="0.25">
      <c r="H14" s="3"/>
      <c r="I14" s="3"/>
    </row>
    <row r="15" spans="1:14" x14ac:dyDescent="0.25">
      <c r="H15" s="3"/>
      <c r="I15" s="3"/>
    </row>
    <row r="16" spans="1:14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  <row r="21" spans="8:9" x14ac:dyDescent="0.25">
      <c r="H21" s="3"/>
      <c r="I21" s="3"/>
    </row>
    <row r="22" spans="8:9" x14ac:dyDescent="0.25">
      <c r="H22" s="3"/>
      <c r="I22" s="3"/>
    </row>
    <row r="23" spans="8:9" x14ac:dyDescent="0.25">
      <c r="H23" s="3"/>
      <c r="I23" s="3"/>
    </row>
    <row r="24" spans="8:9" x14ac:dyDescent="0.25">
      <c r="H24" s="3"/>
      <c r="I24" s="3"/>
    </row>
    <row r="25" spans="8:9" x14ac:dyDescent="0.25">
      <c r="H25" s="3"/>
      <c r="I25" s="3"/>
    </row>
    <row r="26" spans="8:9" x14ac:dyDescent="0.25">
      <c r="H26" s="3"/>
      <c r="I26" s="3"/>
    </row>
    <row r="27" spans="8:9" x14ac:dyDescent="0.25">
      <c r="H27" s="3"/>
      <c r="I27" s="3"/>
    </row>
    <row r="28" spans="8:9" x14ac:dyDescent="0.25">
      <c r="H28" s="3"/>
      <c r="I28" s="3"/>
    </row>
    <row r="29" spans="8:9" x14ac:dyDescent="0.25">
      <c r="H29" s="3"/>
      <c r="I29" s="3"/>
    </row>
    <row r="30" spans="8:9" x14ac:dyDescent="0.25">
      <c r="H30" s="3"/>
      <c r="I30" s="3"/>
    </row>
    <row r="31" spans="8:9" x14ac:dyDescent="0.25">
      <c r="H31" s="3"/>
      <c r="I31" s="3"/>
    </row>
    <row r="32" spans="8:9" x14ac:dyDescent="0.25">
      <c r="H32" s="3"/>
      <c r="I32" s="3"/>
    </row>
    <row r="33" spans="3:9" x14ac:dyDescent="0.25">
      <c r="H33" s="3"/>
      <c r="I33" s="3"/>
    </row>
    <row r="34" spans="3:9" x14ac:dyDescent="0.25">
      <c r="H34" s="3"/>
      <c r="I34" s="3"/>
    </row>
    <row r="35" spans="3:9" x14ac:dyDescent="0.25">
      <c r="E35" s="10"/>
      <c r="H35" s="3"/>
      <c r="I35" s="3"/>
    </row>
    <row r="36" spans="3:9" x14ac:dyDescent="0.25">
      <c r="H36" s="3"/>
      <c r="I36" s="3"/>
    </row>
    <row r="37" spans="3:9" x14ac:dyDescent="0.25">
      <c r="H37" s="3"/>
      <c r="I37" s="3"/>
    </row>
    <row r="38" spans="3:9" x14ac:dyDescent="0.25">
      <c r="H38" s="3"/>
      <c r="I38" s="3"/>
    </row>
    <row r="39" spans="3:9" x14ac:dyDescent="0.25">
      <c r="H39" s="3"/>
      <c r="I39" s="3"/>
    </row>
    <row r="40" spans="3:9" x14ac:dyDescent="0.25">
      <c r="H40" s="3"/>
      <c r="I40" s="3"/>
    </row>
    <row r="41" spans="3:9" x14ac:dyDescent="0.25">
      <c r="H41" s="3"/>
      <c r="I41" s="3"/>
    </row>
    <row r="42" spans="3:9" x14ac:dyDescent="0.25">
      <c r="H42" s="3"/>
      <c r="I42" s="3"/>
    </row>
    <row r="43" spans="3:9" x14ac:dyDescent="0.25">
      <c r="H43" s="3"/>
      <c r="I43" s="3"/>
    </row>
    <row r="44" spans="3:9" x14ac:dyDescent="0.25">
      <c r="H44" s="3"/>
      <c r="I44" s="3"/>
    </row>
    <row r="45" spans="3:9" x14ac:dyDescent="0.25">
      <c r="C45" s="5"/>
      <c r="H45" s="3"/>
      <c r="I45" s="3"/>
    </row>
    <row r="46" spans="3:9" x14ac:dyDescent="0.25">
      <c r="H46" s="3"/>
      <c r="I46" s="3"/>
    </row>
    <row r="47" spans="3:9" x14ac:dyDescent="0.25">
      <c r="H47" s="3"/>
      <c r="I47" s="3"/>
    </row>
    <row r="48" spans="3:9" x14ac:dyDescent="0.25">
      <c r="H48" s="3"/>
      <c r="I48" s="3"/>
    </row>
    <row r="49" spans="8:9" x14ac:dyDescent="0.25">
      <c r="H49" s="3"/>
      <c r="I49" s="3"/>
    </row>
    <row r="50" spans="8:9" x14ac:dyDescent="0.25">
      <c r="H50" s="3"/>
      <c r="I50" s="3"/>
    </row>
    <row r="51" spans="8:9" x14ac:dyDescent="0.25">
      <c r="H51" s="3"/>
      <c r="I51" s="3"/>
    </row>
    <row r="52" spans="8:9" x14ac:dyDescent="0.25">
      <c r="H52" s="3"/>
      <c r="I52" s="3"/>
    </row>
    <row r="53" spans="8:9" x14ac:dyDescent="0.25">
      <c r="H53" s="3"/>
      <c r="I53" s="3"/>
    </row>
    <row r="54" spans="8:9" x14ac:dyDescent="0.25">
      <c r="H54" s="3"/>
      <c r="I54" s="3"/>
    </row>
    <row r="55" spans="8:9" x14ac:dyDescent="0.25">
      <c r="H55" s="3"/>
      <c r="I55" s="3"/>
    </row>
    <row r="56" spans="8:9" x14ac:dyDescent="0.25">
      <c r="H56" s="3"/>
      <c r="I56" s="3"/>
    </row>
    <row r="57" spans="8:9" x14ac:dyDescent="0.25">
      <c r="H57" s="3"/>
      <c r="I57" s="3"/>
    </row>
    <row r="58" spans="8:9" x14ac:dyDescent="0.25">
      <c r="H58" s="3"/>
      <c r="I58" s="3"/>
    </row>
    <row r="59" spans="8:9" x14ac:dyDescent="0.25">
      <c r="H59" s="3"/>
      <c r="I59" s="3"/>
    </row>
    <row r="60" spans="8:9" x14ac:dyDescent="0.25">
      <c r="H60" s="3"/>
      <c r="I60" s="3"/>
    </row>
    <row r="61" spans="8:9" x14ac:dyDescent="0.25">
      <c r="H61" s="3"/>
      <c r="I61" s="3"/>
    </row>
    <row r="62" spans="8:9" x14ac:dyDescent="0.25">
      <c r="H62" s="3"/>
      <c r="I62" s="3"/>
    </row>
    <row r="63" spans="8:9" x14ac:dyDescent="0.25">
      <c r="H63" s="3"/>
      <c r="I63" s="3"/>
    </row>
    <row r="64" spans="8:9" x14ac:dyDescent="0.25">
      <c r="H64" s="3"/>
      <c r="I64" s="3"/>
    </row>
    <row r="65" spans="8:9" x14ac:dyDescent="0.25">
      <c r="H65" s="3"/>
      <c r="I65" s="3"/>
    </row>
    <row r="66" spans="8:9" x14ac:dyDescent="0.25">
      <c r="H66" s="3"/>
      <c r="I66" s="3"/>
    </row>
    <row r="67" spans="8:9" x14ac:dyDescent="0.25">
      <c r="H67" s="3"/>
      <c r="I67" s="3"/>
    </row>
    <row r="68" spans="8:9" x14ac:dyDescent="0.25">
      <c r="H68" s="3"/>
      <c r="I68" s="3"/>
    </row>
    <row r="69" spans="8:9" x14ac:dyDescent="0.25">
      <c r="H69" s="3"/>
      <c r="I69" s="3"/>
    </row>
    <row r="70" spans="8:9" x14ac:dyDescent="0.25">
      <c r="H70" s="3"/>
      <c r="I70" s="3"/>
    </row>
    <row r="71" spans="8:9" x14ac:dyDescent="0.25">
      <c r="H71" s="3"/>
      <c r="I71" s="3"/>
    </row>
    <row r="72" spans="8:9" x14ac:dyDescent="0.25">
      <c r="H72" s="3"/>
      <c r="I72" s="3"/>
    </row>
    <row r="73" spans="8:9" x14ac:dyDescent="0.25">
      <c r="H73" s="3"/>
      <c r="I73" s="3"/>
    </row>
    <row r="74" spans="8:9" x14ac:dyDescent="0.25">
      <c r="H74" s="3"/>
      <c r="I74" s="3"/>
    </row>
    <row r="75" spans="8:9" x14ac:dyDescent="0.25">
      <c r="H75" s="3"/>
      <c r="I75" s="3"/>
    </row>
    <row r="76" spans="8:9" x14ac:dyDescent="0.25">
      <c r="H76" s="3"/>
      <c r="I76" s="3"/>
    </row>
    <row r="77" spans="8:9" x14ac:dyDescent="0.25">
      <c r="H77" s="3"/>
      <c r="I77" s="3"/>
    </row>
    <row r="78" spans="8:9" x14ac:dyDescent="0.25">
      <c r="H78" s="3"/>
      <c r="I78" s="3"/>
    </row>
    <row r="79" spans="8:9" x14ac:dyDescent="0.25">
      <c r="H79" s="3"/>
      <c r="I79" s="3"/>
    </row>
    <row r="80" spans="8:9" x14ac:dyDescent="0.25">
      <c r="H80" s="3"/>
      <c r="I80" s="3"/>
    </row>
    <row r="81" spans="2:9" x14ac:dyDescent="0.25">
      <c r="H81" s="3"/>
      <c r="I81" s="3"/>
    </row>
    <row r="82" spans="2:9" x14ac:dyDescent="0.25">
      <c r="H82" s="3"/>
      <c r="I82" s="3"/>
    </row>
    <row r="83" spans="2:9" x14ac:dyDescent="0.25">
      <c r="H83" s="3"/>
      <c r="I83" s="3"/>
    </row>
    <row r="84" spans="2:9" x14ac:dyDescent="0.25">
      <c r="H84" s="3"/>
      <c r="I84" s="3"/>
    </row>
    <row r="85" spans="2:9" x14ac:dyDescent="0.25">
      <c r="H85" s="3"/>
      <c r="I85" s="3"/>
    </row>
    <row r="87" spans="2:9" x14ac:dyDescent="0.25">
      <c r="B87" s="3"/>
      <c r="D87" s="3"/>
      <c r="E87" s="3"/>
      <c r="G87" s="3"/>
      <c r="H87" s="3"/>
      <c r="I87" s="3"/>
    </row>
    <row r="88" spans="2:9" x14ac:dyDescent="0.25">
      <c r="H88" s="3"/>
      <c r="I88" s="3"/>
    </row>
    <row r="89" spans="2:9" x14ac:dyDescent="0.25">
      <c r="H89" s="3"/>
      <c r="I89" s="3"/>
    </row>
    <row r="90" spans="2:9" x14ac:dyDescent="0.25">
      <c r="H90" s="3"/>
      <c r="I90" s="3"/>
    </row>
    <row r="91" spans="2:9" x14ac:dyDescent="0.25">
      <c r="H91" s="3"/>
      <c r="I91" s="3"/>
    </row>
  </sheetData>
  <autoFilter ref="A3:N13" xr:uid="{B692AEE8-68EE-4B81-A49D-50BF066DFFE7}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15"/>
  <sheetViews>
    <sheetView workbookViewId="0">
      <selection activeCell="D10" sqref="D10"/>
    </sheetView>
  </sheetViews>
  <sheetFormatPr defaultRowHeight="15" x14ac:dyDescent="0.25"/>
  <cols>
    <col min="1" max="1" width="44.71093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205</v>
      </c>
      <c r="G1" s="2" t="s">
        <v>205</v>
      </c>
      <c r="H1" s="2" t="s">
        <v>205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2" t="s">
        <v>206</v>
      </c>
      <c r="B3" s="6" t="s">
        <v>38</v>
      </c>
      <c r="C3" s="6" t="s">
        <v>56</v>
      </c>
      <c r="D3" s="6" t="s">
        <v>107</v>
      </c>
      <c r="E3" s="6" t="s">
        <v>108</v>
      </c>
      <c r="F3" s="6" t="s">
        <v>207</v>
      </c>
      <c r="G3" s="6" t="s">
        <v>208</v>
      </c>
      <c r="H3" s="6" t="s">
        <v>209</v>
      </c>
      <c r="I3" s="7" t="s">
        <v>210</v>
      </c>
      <c r="J3" s="6" t="s">
        <v>10</v>
      </c>
    </row>
    <row r="4" spans="1:10" x14ac:dyDescent="0.25">
      <c r="A4" t="s">
        <v>231</v>
      </c>
      <c r="B4" t="s">
        <v>232</v>
      </c>
      <c r="C4">
        <v>5</v>
      </c>
      <c r="D4">
        <v>2023</v>
      </c>
      <c r="E4">
        <v>2025</v>
      </c>
      <c r="F4" s="3"/>
    </row>
    <row r="5" spans="1:10" x14ac:dyDescent="0.25">
      <c r="A5" t="s">
        <v>234</v>
      </c>
      <c r="B5" t="s">
        <v>194</v>
      </c>
      <c r="C5">
        <v>0</v>
      </c>
      <c r="D5">
        <v>2026</v>
      </c>
      <c r="E5">
        <v>2030</v>
      </c>
    </row>
    <row r="6" spans="1:10" x14ac:dyDescent="0.25">
      <c r="A6" t="s">
        <v>233</v>
      </c>
      <c r="B6" t="s">
        <v>194</v>
      </c>
      <c r="D6">
        <v>2026</v>
      </c>
      <c r="E6">
        <v>2030</v>
      </c>
    </row>
    <row r="7" spans="1:10" x14ac:dyDescent="0.25">
      <c r="A7" t="s">
        <v>235</v>
      </c>
      <c r="B7" t="s">
        <v>194</v>
      </c>
      <c r="C7">
        <v>5</v>
      </c>
      <c r="E7">
        <v>2030</v>
      </c>
    </row>
    <row r="8" spans="1:10" x14ac:dyDescent="0.25">
      <c r="A8" t="s">
        <v>236</v>
      </c>
      <c r="B8" t="s">
        <v>194</v>
      </c>
      <c r="C8">
        <v>5</v>
      </c>
      <c r="D8">
        <v>1900</v>
      </c>
      <c r="E8">
        <v>2030</v>
      </c>
    </row>
    <row r="9" spans="1:10" x14ac:dyDescent="0.25">
      <c r="A9" t="s">
        <v>237</v>
      </c>
      <c r="B9" t="s">
        <v>194</v>
      </c>
      <c r="C9">
        <v>5</v>
      </c>
      <c r="D9">
        <v>2023</v>
      </c>
      <c r="E9">
        <v>3000</v>
      </c>
    </row>
    <row r="10" spans="1:10" x14ac:dyDescent="0.25">
      <c r="A10" t="s">
        <v>239</v>
      </c>
      <c r="B10" t="s">
        <v>194</v>
      </c>
      <c r="C10">
        <v>5</v>
      </c>
      <c r="D10">
        <v>2023</v>
      </c>
    </row>
    <row r="11" spans="1:10" x14ac:dyDescent="0.25">
      <c r="A11" t="s">
        <v>238</v>
      </c>
      <c r="B11" t="s">
        <v>194</v>
      </c>
      <c r="C11">
        <v>5</v>
      </c>
      <c r="D11">
        <v>2023</v>
      </c>
      <c r="E11">
        <v>1900</v>
      </c>
    </row>
    <row r="12" spans="1:10" x14ac:dyDescent="0.25">
      <c r="A12" t="s">
        <v>240</v>
      </c>
      <c r="B12" t="s">
        <v>194</v>
      </c>
      <c r="C12">
        <v>5</v>
      </c>
      <c r="D12">
        <v>2023</v>
      </c>
      <c r="E12">
        <v>1900</v>
      </c>
      <c r="F12" t="s">
        <v>230</v>
      </c>
    </row>
    <row r="13" spans="1:10" x14ac:dyDescent="0.25">
      <c r="A13" t="s">
        <v>241</v>
      </c>
      <c r="B13" t="s">
        <v>194</v>
      </c>
      <c r="C13">
        <v>5</v>
      </c>
      <c r="D13">
        <v>2023</v>
      </c>
      <c r="E13">
        <v>1900</v>
      </c>
      <c r="G13" t="s">
        <v>230</v>
      </c>
    </row>
    <row r="14" spans="1:10" x14ac:dyDescent="0.25">
      <c r="A14" t="s">
        <v>242</v>
      </c>
      <c r="B14" t="s">
        <v>194</v>
      </c>
      <c r="C14">
        <v>5</v>
      </c>
      <c r="D14">
        <v>2023</v>
      </c>
      <c r="E14">
        <v>1900</v>
      </c>
      <c r="H14" t="s">
        <v>230</v>
      </c>
    </row>
    <row r="15" spans="1:10" x14ac:dyDescent="0.25">
      <c r="A15" t="s">
        <v>243</v>
      </c>
      <c r="B15" t="s">
        <v>194</v>
      </c>
      <c r="C15">
        <v>5</v>
      </c>
      <c r="D15">
        <v>2023</v>
      </c>
      <c r="E15">
        <v>1900</v>
      </c>
      <c r="I15" t="s">
        <v>230</v>
      </c>
    </row>
  </sheetData>
  <dataValidations xWindow="1111" yWindow="463" count="3">
    <dataValidation allowBlank="1" showInputMessage="1" showErrorMessage="1" promptTitle="NOTE" prompt="Used only in the following stock distribution types:_x000a_- Normal_x000a_- LogNormal_x000a_- FoldedNormal" sqref="F3:F1048576" xr:uid="{EB58ED90-11CC-40D7-B560-63144E99B293}"/>
    <dataValidation allowBlank="1" showInputMessage="1" showErrorMessage="1" promptTitle="NOTE" prompt="Used only in the following stock distribution types:_x000a_- Weibull" sqref="G3:H1048576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111" yWindow="463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I4:I14 I16:I1048576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23</v>
      </c>
      <c r="B1" t="s">
        <v>38</v>
      </c>
      <c r="C1" t="s">
        <v>17</v>
      </c>
      <c r="D1" t="s">
        <v>18</v>
      </c>
    </row>
    <row r="2" spans="1:4" x14ac:dyDescent="0.25">
      <c r="A2">
        <v>2021</v>
      </c>
      <c r="B2" t="s">
        <v>192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36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193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37</v>
      </c>
      <c r="C5">
        <v>0.40899999999999997</v>
      </c>
      <c r="D5">
        <v>0.05</v>
      </c>
    </row>
    <row r="6" spans="1:4" x14ac:dyDescent="0.25">
      <c r="A6">
        <v>2021</v>
      </c>
      <c r="B6" t="s">
        <v>194</v>
      </c>
      <c r="C6">
        <v>0.752</v>
      </c>
      <c r="D6">
        <v>0.44400000000000001</v>
      </c>
    </row>
    <row r="7" spans="1:4" x14ac:dyDescent="0.25">
      <c r="A7">
        <v>2021</v>
      </c>
      <c r="B7" t="s">
        <v>195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196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197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198</v>
      </c>
      <c r="C10">
        <v>0.24299999999999999</v>
      </c>
      <c r="D10">
        <v>0.9</v>
      </c>
    </row>
    <row r="11" spans="1:4" x14ac:dyDescent="0.25">
      <c r="A11">
        <v>2022</v>
      </c>
      <c r="B11" t="s">
        <v>192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36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193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37</v>
      </c>
      <c r="C14">
        <v>0.40899999999999997</v>
      </c>
      <c r="D14">
        <v>0.05</v>
      </c>
    </row>
    <row r="15" spans="1:4" x14ac:dyDescent="0.25">
      <c r="A15">
        <v>2022</v>
      </c>
      <c r="B15" t="s">
        <v>194</v>
      </c>
      <c r="C15">
        <v>0.752</v>
      </c>
      <c r="D15">
        <v>0.44400000000000001</v>
      </c>
    </row>
    <row r="16" spans="1:4" x14ac:dyDescent="0.25">
      <c r="A16">
        <v>2022</v>
      </c>
      <c r="B16" t="s">
        <v>195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196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197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198</v>
      </c>
      <c r="C19">
        <v>0.24299999999999999</v>
      </c>
      <c r="D19">
        <v>0.9</v>
      </c>
    </row>
    <row r="20" spans="1:4" x14ac:dyDescent="0.25">
      <c r="A20">
        <v>2023</v>
      </c>
      <c r="B20" t="s">
        <v>192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36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193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37</v>
      </c>
      <c r="C23">
        <v>0.40899999999999997</v>
      </c>
      <c r="D23">
        <v>0.05</v>
      </c>
    </row>
    <row r="24" spans="1:4" x14ac:dyDescent="0.25">
      <c r="A24">
        <v>2023</v>
      </c>
      <c r="B24" t="s">
        <v>194</v>
      </c>
      <c r="C24">
        <v>0.752</v>
      </c>
      <c r="D24">
        <v>0.44400000000000001</v>
      </c>
    </row>
    <row r="25" spans="1:4" x14ac:dyDescent="0.25">
      <c r="A25">
        <v>2023</v>
      </c>
      <c r="B25" t="s">
        <v>195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196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197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198</v>
      </c>
      <c r="C28">
        <v>0.24299999999999999</v>
      </c>
      <c r="D28">
        <v>0.9</v>
      </c>
    </row>
    <row r="29" spans="1:4" x14ac:dyDescent="0.25">
      <c r="A29">
        <v>2024</v>
      </c>
      <c r="B29" t="s">
        <v>192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36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193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37</v>
      </c>
      <c r="C32">
        <v>0.40899999999999997</v>
      </c>
      <c r="D32">
        <v>0.05</v>
      </c>
    </row>
    <row r="33" spans="1:4" x14ac:dyDescent="0.25">
      <c r="A33">
        <v>2024</v>
      </c>
      <c r="B33" t="s">
        <v>194</v>
      </c>
      <c r="C33">
        <v>0.752</v>
      </c>
      <c r="D33">
        <v>0.44400000000000001</v>
      </c>
    </row>
    <row r="34" spans="1:4" x14ac:dyDescent="0.25">
      <c r="A34">
        <v>2024</v>
      </c>
      <c r="B34" t="s">
        <v>195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196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197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198</v>
      </c>
      <c r="C37">
        <v>0.24299999999999999</v>
      </c>
      <c r="D37">
        <v>0.9</v>
      </c>
    </row>
    <row r="38" spans="1:4" x14ac:dyDescent="0.25">
      <c r="A38">
        <v>2025</v>
      </c>
      <c r="B38" t="s">
        <v>192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36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193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37</v>
      </c>
      <c r="C41">
        <v>0.40899999999999997</v>
      </c>
      <c r="D41">
        <v>0.05</v>
      </c>
    </row>
    <row r="42" spans="1:4" x14ac:dyDescent="0.25">
      <c r="A42">
        <v>2025</v>
      </c>
      <c r="B42" t="s">
        <v>194</v>
      </c>
      <c r="C42">
        <v>0.752</v>
      </c>
      <c r="D42">
        <v>0.44400000000000001</v>
      </c>
    </row>
    <row r="43" spans="1:4" x14ac:dyDescent="0.25">
      <c r="A43">
        <v>2025</v>
      </c>
      <c r="B43" t="s">
        <v>195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196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197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198</v>
      </c>
      <c r="C46">
        <v>0.24299999999999999</v>
      </c>
      <c r="D46">
        <v>0.9</v>
      </c>
    </row>
    <row r="47" spans="1:4" x14ac:dyDescent="0.25">
      <c r="A47">
        <v>2026</v>
      </c>
      <c r="B47" t="s">
        <v>192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36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193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37</v>
      </c>
      <c r="C50">
        <v>0.40899999999999997</v>
      </c>
      <c r="D50">
        <v>0.05</v>
      </c>
    </row>
    <row r="51" spans="1:4" x14ac:dyDescent="0.25">
      <c r="A51">
        <v>2026</v>
      </c>
      <c r="B51" t="s">
        <v>194</v>
      </c>
      <c r="C51">
        <v>0.752</v>
      </c>
      <c r="D51">
        <v>0.44400000000000001</v>
      </c>
    </row>
    <row r="52" spans="1:4" x14ac:dyDescent="0.25">
      <c r="A52">
        <v>2026</v>
      </c>
      <c r="B52" t="s">
        <v>195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196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197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198</v>
      </c>
      <c r="C55">
        <v>0.24299999999999999</v>
      </c>
      <c r="D55">
        <v>0.9</v>
      </c>
    </row>
    <row r="56" spans="1:4" x14ac:dyDescent="0.25">
      <c r="A56">
        <v>2027</v>
      </c>
      <c r="B56" t="s">
        <v>192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36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193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37</v>
      </c>
      <c r="C59">
        <v>0.40899999999999997</v>
      </c>
      <c r="D59">
        <v>0.05</v>
      </c>
    </row>
    <row r="60" spans="1:4" x14ac:dyDescent="0.25">
      <c r="A60">
        <v>2027</v>
      </c>
      <c r="B60" t="s">
        <v>194</v>
      </c>
      <c r="C60">
        <v>0.752</v>
      </c>
      <c r="D60">
        <v>0.44400000000000001</v>
      </c>
    </row>
    <row r="61" spans="1:4" x14ac:dyDescent="0.25">
      <c r="A61">
        <v>2027</v>
      </c>
      <c r="B61" t="s">
        <v>195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196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197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198</v>
      </c>
      <c r="C64">
        <v>0.24299999999999999</v>
      </c>
      <c r="D64">
        <v>0.9</v>
      </c>
    </row>
    <row r="65" spans="1:4" x14ac:dyDescent="0.25">
      <c r="A65">
        <v>2028</v>
      </c>
      <c r="B65" t="s">
        <v>192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36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193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37</v>
      </c>
      <c r="C68">
        <v>0.40899999999999997</v>
      </c>
      <c r="D68">
        <v>0.05</v>
      </c>
    </row>
    <row r="69" spans="1:4" x14ac:dyDescent="0.25">
      <c r="A69">
        <v>2028</v>
      </c>
      <c r="B69" t="s">
        <v>194</v>
      </c>
      <c r="C69">
        <v>0.752</v>
      </c>
      <c r="D69">
        <v>0.44400000000000001</v>
      </c>
    </row>
    <row r="70" spans="1:4" x14ac:dyDescent="0.25">
      <c r="A70">
        <v>2028</v>
      </c>
      <c r="B70" t="s">
        <v>195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196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197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198</v>
      </c>
      <c r="C73">
        <v>0.24299999999999999</v>
      </c>
      <c r="D73">
        <v>0.9</v>
      </c>
    </row>
    <row r="74" spans="1:4" x14ac:dyDescent="0.25">
      <c r="A74">
        <v>2029</v>
      </c>
      <c r="B74" t="s">
        <v>192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36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193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37</v>
      </c>
      <c r="C77">
        <v>0.40899999999999997</v>
      </c>
      <c r="D77">
        <v>0.05</v>
      </c>
    </row>
    <row r="78" spans="1:4" x14ac:dyDescent="0.25">
      <c r="A78">
        <v>2029</v>
      </c>
      <c r="B78" t="s">
        <v>194</v>
      </c>
      <c r="C78">
        <v>0.752</v>
      </c>
      <c r="D78">
        <v>0.44400000000000001</v>
      </c>
    </row>
    <row r="79" spans="1:4" x14ac:dyDescent="0.25">
      <c r="A79">
        <v>2029</v>
      </c>
      <c r="B79" t="s">
        <v>195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196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197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198</v>
      </c>
      <c r="C82">
        <v>0.24299999999999999</v>
      </c>
      <c r="D82">
        <v>0.9</v>
      </c>
    </row>
    <row r="83" spans="1:4" x14ac:dyDescent="0.25">
      <c r="A83">
        <v>2030</v>
      </c>
      <c r="B83" t="s">
        <v>192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36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193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37</v>
      </c>
      <c r="C86">
        <v>0.40899999999999997</v>
      </c>
      <c r="D86">
        <v>0.05</v>
      </c>
    </row>
    <row r="87" spans="1:4" x14ac:dyDescent="0.25">
      <c r="A87">
        <v>2030</v>
      </c>
      <c r="B87" t="s">
        <v>194</v>
      </c>
      <c r="C87">
        <v>0.752</v>
      </c>
      <c r="D87">
        <v>0.44400000000000001</v>
      </c>
    </row>
    <row r="88" spans="1:4" x14ac:dyDescent="0.25">
      <c r="A88">
        <v>2030</v>
      </c>
      <c r="B88" t="s">
        <v>195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196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197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198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L3"/>
  <sheetViews>
    <sheetView workbookViewId="0">
      <selection activeCell="D2" sqref="D2"/>
    </sheetView>
  </sheetViews>
  <sheetFormatPr defaultRowHeight="15" x14ac:dyDescent="0.25"/>
  <cols>
    <col min="1" max="1" width="52.85546875" customWidth="1"/>
    <col min="2" max="2" width="16.5703125" bestFit="1" customWidth="1"/>
    <col min="3" max="3" width="16.140625" bestFit="1" customWidth="1"/>
    <col min="4" max="4" width="21.85546875" bestFit="1" customWidth="1"/>
    <col min="5" max="5" width="23.85546875" bestFit="1" customWidth="1"/>
    <col min="6" max="6" width="37.140625" bestFit="1" customWidth="1"/>
    <col min="7" max="7" width="19.28515625" bestFit="1" customWidth="1"/>
    <col min="8" max="8" width="18.42578125" bestFit="1" customWidth="1"/>
    <col min="9" max="9" width="13.28515625" bestFit="1" customWidth="1"/>
    <col min="10" max="10" width="19.7109375" bestFit="1" customWidth="1"/>
    <col min="11" max="12" width="52.42578125" bestFit="1" customWidth="1"/>
  </cols>
  <sheetData>
    <row r="1" spans="1:12" x14ac:dyDescent="0.25">
      <c r="A1" s="22" t="s">
        <v>102</v>
      </c>
      <c r="B1" s="22" t="s">
        <v>103</v>
      </c>
      <c r="C1" s="22" t="s">
        <v>104</v>
      </c>
      <c r="D1" s="22" t="s">
        <v>105</v>
      </c>
      <c r="E1" s="22" t="s">
        <v>177</v>
      </c>
      <c r="F1" s="22" t="s">
        <v>106</v>
      </c>
      <c r="G1" s="22" t="s">
        <v>107</v>
      </c>
      <c r="H1" s="22" t="s">
        <v>108</v>
      </c>
      <c r="I1" s="22" t="s">
        <v>109</v>
      </c>
      <c r="J1" s="22" t="s">
        <v>199</v>
      </c>
      <c r="K1" s="22" t="s">
        <v>110</v>
      </c>
      <c r="L1" s="22" t="s">
        <v>110</v>
      </c>
    </row>
    <row r="2" spans="1:12" x14ac:dyDescent="0.25">
      <c r="A2" t="s">
        <v>170</v>
      </c>
      <c r="B2" s="3" t="s">
        <v>36</v>
      </c>
      <c r="C2" s="3" t="s">
        <v>37</v>
      </c>
      <c r="D2">
        <v>-50</v>
      </c>
      <c r="F2" t="s">
        <v>9</v>
      </c>
      <c r="G2">
        <v>2025</v>
      </c>
      <c r="H2">
        <v>2030</v>
      </c>
      <c r="I2" t="s">
        <v>116</v>
      </c>
      <c r="J2" s="21" t="b">
        <v>1</v>
      </c>
    </row>
    <row r="3" spans="1:12" x14ac:dyDescent="0.25">
      <c r="B3" s="3"/>
      <c r="C3" s="3"/>
    </row>
  </sheetData>
  <conditionalFormatting sqref="J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J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F2:F1048576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I2:I1048576 J3:J1048576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132</v>
      </c>
      <c r="B1" s="1" t="s">
        <v>133</v>
      </c>
    </row>
    <row r="2" spans="1:3" x14ac:dyDescent="0.25">
      <c r="A2" t="s">
        <v>11</v>
      </c>
      <c r="B2" t="s">
        <v>142</v>
      </c>
    </row>
    <row r="3" spans="1:3" x14ac:dyDescent="0.25">
      <c r="A3" t="s">
        <v>12</v>
      </c>
      <c r="B3" t="s">
        <v>135</v>
      </c>
    </row>
    <row r="4" spans="1:3" x14ac:dyDescent="0.25">
      <c r="A4" t="s">
        <v>13</v>
      </c>
      <c r="B4" t="s">
        <v>136</v>
      </c>
    </row>
    <row r="5" spans="1:3" x14ac:dyDescent="0.25">
      <c r="A5" t="s">
        <v>34</v>
      </c>
      <c r="B5" t="s">
        <v>137</v>
      </c>
    </row>
    <row r="6" spans="1:3" x14ac:dyDescent="0.25">
      <c r="A6" t="s">
        <v>14</v>
      </c>
      <c r="B6" t="s">
        <v>138</v>
      </c>
    </row>
    <row r="7" spans="1:3" x14ac:dyDescent="0.25">
      <c r="A7" t="s">
        <v>32</v>
      </c>
      <c r="B7" t="s">
        <v>143</v>
      </c>
    </row>
    <row r="8" spans="1:3" x14ac:dyDescent="0.25">
      <c r="A8" t="s">
        <v>33</v>
      </c>
      <c r="B8" t="s">
        <v>144</v>
      </c>
    </row>
    <row r="9" spans="1:3" x14ac:dyDescent="0.25">
      <c r="A9" t="s">
        <v>134</v>
      </c>
      <c r="B9" t="s">
        <v>141</v>
      </c>
      <c r="C9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8" sqref="H8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112</v>
      </c>
    </row>
    <row r="3" spans="2:8" x14ac:dyDescent="0.25">
      <c r="B3" t="s">
        <v>113</v>
      </c>
    </row>
    <row r="5" spans="2:8" x14ac:dyDescent="0.25">
      <c r="B5" s="15" t="s">
        <v>81</v>
      </c>
      <c r="C5" s="15" t="s">
        <v>69</v>
      </c>
      <c r="D5" s="15" t="s">
        <v>90</v>
      </c>
      <c r="E5" s="15" t="s">
        <v>114</v>
      </c>
      <c r="F5" s="15" t="s">
        <v>109</v>
      </c>
      <c r="G5" s="15" t="s">
        <v>185</v>
      </c>
      <c r="H5" s="15" t="s">
        <v>211</v>
      </c>
    </row>
    <row r="6" spans="2:8" x14ac:dyDescent="0.25">
      <c r="B6" t="s">
        <v>50</v>
      </c>
      <c r="C6" t="b">
        <v>1</v>
      </c>
      <c r="D6" t="s">
        <v>91</v>
      </c>
      <c r="E6" t="s">
        <v>54</v>
      </c>
      <c r="F6" t="s">
        <v>115</v>
      </c>
      <c r="G6" t="s">
        <v>186</v>
      </c>
      <c r="H6" t="s">
        <v>212</v>
      </c>
    </row>
    <row r="7" spans="2:8" x14ac:dyDescent="0.25">
      <c r="B7" t="s">
        <v>35</v>
      </c>
      <c r="C7" t="b">
        <v>0</v>
      </c>
      <c r="D7" t="s">
        <v>92</v>
      </c>
      <c r="E7" t="s">
        <v>9</v>
      </c>
      <c r="F7" t="s">
        <v>116</v>
      </c>
      <c r="G7" t="s">
        <v>187</v>
      </c>
      <c r="H7" t="s">
        <v>213</v>
      </c>
    </row>
    <row r="8" spans="2:8" x14ac:dyDescent="0.25">
      <c r="B8" t="s">
        <v>51</v>
      </c>
      <c r="D8" t="s">
        <v>93</v>
      </c>
      <c r="F8" t="s">
        <v>117</v>
      </c>
      <c r="H8" t="s">
        <v>214</v>
      </c>
    </row>
    <row r="9" spans="2:8" x14ac:dyDescent="0.25">
      <c r="B9" t="s">
        <v>53</v>
      </c>
      <c r="D9" t="s">
        <v>94</v>
      </c>
      <c r="F9" t="s">
        <v>118</v>
      </c>
    </row>
    <row r="10" spans="2:8" x14ac:dyDescent="0.25">
      <c r="B10" t="s">
        <v>52</v>
      </c>
    </row>
    <row r="11" spans="2:8" x14ac:dyDescent="0.25">
      <c r="B11" t="s">
        <v>95</v>
      </c>
    </row>
    <row r="12" spans="2:8" x14ac:dyDescent="0.25">
      <c r="B12" t="s">
        <v>182</v>
      </c>
    </row>
    <row r="13" spans="2:8" x14ac:dyDescent="0.25">
      <c r="B13" t="s">
        <v>183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