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29CAED15-5CA4-4E20-ABB6-5D168B2C6C7A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Sheet1" sheetId="16" r:id="rId7"/>
    <sheet name="Colors" sheetId="13" r:id="rId8"/>
    <sheet name="Data validation parameters" sheetId="9" r:id="rId9"/>
  </sheets>
  <definedNames>
    <definedName name="_xlnm._FilterDatabase" localSheetId="2" hidden="1">Flows!$A$3:$P$5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F6" i="1" s="1"/>
  <c r="H6" i="1"/>
  <c r="C6" i="1"/>
  <c r="D7" i="6"/>
  <c r="D6" i="6"/>
  <c r="D5" i="6"/>
  <c r="D4" i="6"/>
  <c r="H4" i="1" l="1"/>
  <c r="I4" i="1"/>
  <c r="H5" i="1"/>
  <c r="I5" i="1"/>
  <c r="C5" i="1" l="1"/>
  <c r="F5" i="1"/>
  <c r="F4" i="1"/>
  <c r="C4" i="1"/>
</calcChain>
</file>

<file path=xl/sharedStrings.xml><?xml version="1.0" encoding="utf-8"?>
<sst xmlns="http://schemas.openxmlformats.org/spreadsheetml/2006/main" count="432" uniqueCount="220">
  <si>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</si>
  <si>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</si>
  <si>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</si>
  <si>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</si>
  <si>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</si>
  <si>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</si>
  <si>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</si>
  <si>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</si>
  <si>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</si>
  <si>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</si>
  <si>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</si>
  <si>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</si>
  <si>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</si>
  <si>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</si>
  <si>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</si>
  <si>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</si>
  <si>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</si>
  <si>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</si>
  <si>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</si>
  <si>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</si>
  <si>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</si>
  <si>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</si>
  <si>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</si>
  <si>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</si>
  <si>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</si>
  <si>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</si>
  <si>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</si>
  <si>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</si>
  <si>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</si>
  <si>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</si>
  <si>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</si>
  <si>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</si>
  <si>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a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</si>
  <si>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</si>
  <si>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</si>
  <si>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</si>
  <si>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</si>
  <si>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</si>
  <si>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</si>
  <si>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</si>
  <si>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</si>
  <si>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</si>
  <si>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</si>
  <si>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</si>
  <si>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</si>
  <si>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</si>
  <si>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</si>
  <si>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</si>
  <si>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</si>
  <si>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</si>
  <si>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</si>
  <si>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</si>
  <si>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</si>
  <si>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</si>
  <si>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</si>
  <si>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</si>
  <si>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</si>
  <si>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</si>
  <si>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</si>
  <si>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</si>
  <si>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</si>
  <si>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</si>
  <si>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</si>
  <si>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</si>
  <si>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</si>
  <si>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</si>
  <si>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</si>
  <si>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</si>
  <si>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</si>
  <si>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</si>
  <si>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</si>
  <si>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</si>
  <si>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</si>
  <si>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</si>
  <si>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</si>
  <si>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</si>
  <si>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</si>
  <si>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</si>
  <si>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</si>
  <si>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</si>
  <si>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</si>
  <si>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</si>
  <si>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</si>
  <si>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</si>
  <si>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</si>
  <si>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</si>
  <si>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</si>
  <si>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</si>
  <si>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</si>
  <si>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</si>
  <si>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</si>
  <si>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</si>
  <si>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</si>
  <si>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</si>
  <si>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</si>
  <si>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</si>
  <si>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</si>
  <si>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</si>
  <si>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</si>
  <si>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</si>
  <si>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</si>
  <si>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</si>
  <si>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</si>
  <si>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</si>
  <si>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</si>
  <si>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</si>
  <si>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</si>
  <si>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</si>
  <si>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</si>
  <si>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</si>
  <si>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</si>
  <si>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</si>
  <si>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</si>
  <si>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</si>
  <si>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</si>
  <si>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</si>
  <si>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</si>
  <si>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</si>
  <si>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</si>
  <si>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</si>
  <si>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</si>
  <si>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</si>
  <si>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</si>
  <si>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</si>
  <si>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</si>
  <si>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</si>
  <si>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</si>
  <si>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</si>
  <si>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</si>
  <si>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</si>
  <si>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</si>
  <si>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</si>
  <si>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</si>
  <si>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</si>
  <si>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</si>
  <si>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</si>
  <si>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</si>
  <si>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</si>
  <si>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</si>
  <si>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</si>
  <si>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</si>
  <si>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</si>
  <si>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</si>
  <si>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</si>
  <si>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</si>
  <si>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</si>
  <si>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</si>
  <si>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</si>
  <si>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</si>
  <si>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</si>
  <si>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</si>
  <si>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</si>
  <si>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</si>
  <si>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</si>
  <si>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</si>
  <si>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</si>
  <si>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</si>
  <si>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</si>
  <si>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</si>
  <si>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</si>
  <si>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</si>
  <si>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</si>
  <si>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</si>
  <si>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</si>
  <si>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</si>
  <si>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</si>
  <si>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</si>
  <si>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</si>
  <si>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</si>
  <si>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</si>
  <si>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</si>
  <si>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</si>
  <si>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</si>
  <si>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</si>
  <si>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</si>
  <si>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</si>
  <si>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</si>
  <si>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</si>
  <si>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</si>
  <si>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</si>
  <si>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</si>
  <si>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</si>
  <si>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</si>
  <si>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</si>
  <si>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</si>
  <si>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</si>
  <si>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</si>
  <si>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</si>
  <si>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</si>
  <si>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</si>
  <si>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</si>
  <si>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</si>
  <si>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</si>
  <si>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</si>
  <si>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</si>
  <si>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</si>
  <si>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</si>
  <si>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</si>
  <si>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</si>
  <si>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</si>
  <si>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Middle</t>
  </si>
  <si>
    <t>Test values</t>
  </si>
  <si>
    <t>Middle:FI</t>
  </si>
  <si>
    <t>No change - siblings</t>
  </si>
  <si>
    <t>Change - siblings</t>
  </si>
  <si>
    <t>Sink1</t>
  </si>
  <si>
    <t>Sink2</t>
  </si>
  <si>
    <t>Sink1:FI</t>
  </si>
  <si>
    <t>Sink2:FI</t>
  </si>
  <si>
    <t>No change - target opposite flows</t>
  </si>
  <si>
    <t>Change - target opposite flows</t>
  </si>
  <si>
    <t>Success</t>
  </si>
  <si>
    <t>Comment (expected result)</t>
  </si>
  <si>
    <t>Change - over 100% share</t>
  </si>
  <si>
    <t>Change - targets - target value</t>
  </si>
  <si>
    <t>Fail</t>
  </si>
  <si>
    <t>Target value - siblings</t>
  </si>
  <si>
    <t>Target value - target opposite flows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</si>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</sst>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4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</xdr:col>
      <xdr:colOff>353260</xdr:colOff>
      <xdr:row>20</xdr:row>
      <xdr:rowOff>152767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1283F-1431-41BD-A0E5-380A60A91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895475"/>
          <a:ext cx="5982535" cy="262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13" sqref="B13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41</v>
      </c>
    </row>
    <row r="3" spans="2:5" x14ac:dyDescent="0.25">
      <c r="B3" s="21" t="s">
        <v>60</v>
      </c>
    </row>
    <row r="4" spans="2:5" x14ac:dyDescent="0.25">
      <c r="B4" t="s">
        <v>59</v>
      </c>
      <c r="C4" s="21"/>
      <c r="D4" s="21"/>
      <c r="E4" s="21"/>
    </row>
    <row r="6" spans="2:5" x14ac:dyDescent="0.25">
      <c r="B6" s="9" t="s">
        <v>42</v>
      </c>
      <c r="C6" s="9" t="s">
        <v>37</v>
      </c>
      <c r="D6" s="9" t="s">
        <v>61</v>
      </c>
      <c r="E6" s="9" t="s">
        <v>3</v>
      </c>
    </row>
    <row r="7" spans="2:5" x14ac:dyDescent="0.25">
      <c r="B7" t="s">
        <v>218</v>
      </c>
      <c r="C7" s="22">
        <v>2</v>
      </c>
      <c r="D7" s="23" t="s">
        <v>71</v>
      </c>
      <c r="E7" t="s">
        <v>219</v>
      </c>
    </row>
    <row r="8" spans="2:5" x14ac:dyDescent="0.25">
      <c r="B8" t="s">
        <v>43</v>
      </c>
      <c r="C8" s="23" t="s">
        <v>1</v>
      </c>
      <c r="D8" s="23" t="s">
        <v>71</v>
      </c>
      <c r="E8" t="s">
        <v>198</v>
      </c>
    </row>
    <row r="9" spans="2:5" x14ac:dyDescent="0.25">
      <c r="B9" t="s">
        <v>119</v>
      </c>
      <c r="C9" t="s">
        <v>150</v>
      </c>
      <c r="D9" t="s">
        <v>104</v>
      </c>
      <c r="E9" t="s">
        <v>121</v>
      </c>
    </row>
    <row r="10" spans="2:5" x14ac:dyDescent="0.25">
      <c r="B10" t="s">
        <v>44</v>
      </c>
      <c r="C10" s="22">
        <v>2</v>
      </c>
      <c r="D10" s="22" t="s">
        <v>69</v>
      </c>
      <c r="E10" t="s">
        <v>47</v>
      </c>
    </row>
    <row r="11" spans="2:5" x14ac:dyDescent="0.25">
      <c r="B11" t="s">
        <v>45</v>
      </c>
      <c r="C11" s="23" t="s">
        <v>2</v>
      </c>
      <c r="D11" s="23" t="s">
        <v>70</v>
      </c>
      <c r="E11" t="s">
        <v>197</v>
      </c>
    </row>
    <row r="12" spans="2:5" x14ac:dyDescent="0.25">
      <c r="B12" t="s">
        <v>120</v>
      </c>
      <c r="C12" t="s">
        <v>150</v>
      </c>
      <c r="D12" t="s">
        <v>104</v>
      </c>
      <c r="E12" t="s">
        <v>122</v>
      </c>
    </row>
    <row r="13" spans="2:5" x14ac:dyDescent="0.25">
      <c r="B13" t="s">
        <v>46</v>
      </c>
      <c r="C13" s="22">
        <v>2</v>
      </c>
      <c r="D13" s="22" t="s">
        <v>69</v>
      </c>
      <c r="E13" t="s">
        <v>47</v>
      </c>
    </row>
    <row r="14" spans="2:5" x14ac:dyDescent="0.25">
      <c r="B14" t="s">
        <v>48</v>
      </c>
      <c r="C14" s="22">
        <v>2000</v>
      </c>
      <c r="D14" s="22" t="s">
        <v>69</v>
      </c>
      <c r="E14" t="s">
        <v>49</v>
      </c>
    </row>
    <row r="15" spans="2:5" x14ac:dyDescent="0.25">
      <c r="B15" t="s">
        <v>50</v>
      </c>
      <c r="C15" s="22">
        <v>2010</v>
      </c>
      <c r="D15" s="22" t="s">
        <v>69</v>
      </c>
      <c r="E15" t="s">
        <v>58</v>
      </c>
    </row>
    <row r="16" spans="2:5" x14ac:dyDescent="0.25">
      <c r="B16" t="s">
        <v>51</v>
      </c>
      <c r="C16" s="24" t="b">
        <v>0</v>
      </c>
      <c r="D16" t="s">
        <v>68</v>
      </c>
      <c r="E16" t="s">
        <v>53</v>
      </c>
    </row>
    <row r="17" spans="1:5" x14ac:dyDescent="0.25">
      <c r="B17" t="s">
        <v>54</v>
      </c>
      <c r="C17" s="24" t="b">
        <v>1</v>
      </c>
      <c r="D17" t="s">
        <v>68</v>
      </c>
      <c r="E17" t="s">
        <v>55</v>
      </c>
    </row>
    <row r="18" spans="1:5" x14ac:dyDescent="0.25">
      <c r="B18" t="s">
        <v>62</v>
      </c>
      <c r="C18" s="14">
        <v>0.1</v>
      </c>
      <c r="D18" s="22" t="s">
        <v>72</v>
      </c>
      <c r="E18" t="s">
        <v>63</v>
      </c>
    </row>
    <row r="19" spans="1:5" x14ac:dyDescent="0.25">
      <c r="A19" t="s">
        <v>166</v>
      </c>
      <c r="B19" t="s">
        <v>142</v>
      </c>
      <c r="C19" t="s">
        <v>149</v>
      </c>
      <c r="D19" t="s">
        <v>70</v>
      </c>
      <c r="E19" t="s">
        <v>145</v>
      </c>
    </row>
    <row r="20" spans="1:5" x14ac:dyDescent="0.25">
      <c r="A20" t="s">
        <v>166</v>
      </c>
      <c r="B20" t="s">
        <v>143</v>
      </c>
      <c r="C20" t="s">
        <v>146</v>
      </c>
      <c r="D20" t="s">
        <v>70</v>
      </c>
      <c r="E20" t="s">
        <v>144</v>
      </c>
    </row>
    <row r="21" spans="1:5" x14ac:dyDescent="0.25">
      <c r="A21" t="s">
        <v>166</v>
      </c>
      <c r="B21" t="s">
        <v>56</v>
      </c>
      <c r="C21" s="20">
        <v>-3.6666666666666701</v>
      </c>
      <c r="D21" s="20" t="s">
        <v>72</v>
      </c>
      <c r="E21" t="s">
        <v>57</v>
      </c>
    </row>
    <row r="22" spans="1:5" x14ac:dyDescent="0.25">
      <c r="A22" t="s">
        <v>166</v>
      </c>
      <c r="B22" t="s">
        <v>66</v>
      </c>
      <c r="C22" s="24" t="b">
        <v>1</v>
      </c>
      <c r="D22" t="s">
        <v>68</v>
      </c>
      <c r="E22" t="s">
        <v>67</v>
      </c>
    </row>
    <row r="23" spans="1:5" x14ac:dyDescent="0.25">
      <c r="A23" t="s">
        <v>166</v>
      </c>
      <c r="B23" t="s">
        <v>65</v>
      </c>
      <c r="C23" s="24" t="b">
        <v>1</v>
      </c>
      <c r="D23" t="s">
        <v>68</v>
      </c>
      <c r="E23" t="s">
        <v>67</v>
      </c>
    </row>
    <row r="24" spans="1:5" x14ac:dyDescent="0.25">
      <c r="A24" t="s">
        <v>166</v>
      </c>
      <c r="B24" t="s">
        <v>73</v>
      </c>
      <c r="C24" t="s">
        <v>76</v>
      </c>
      <c r="D24" t="s">
        <v>71</v>
      </c>
      <c r="E24" t="s">
        <v>94</v>
      </c>
    </row>
    <row r="25" spans="1:5" x14ac:dyDescent="0.25">
      <c r="A25" t="s">
        <v>166</v>
      </c>
      <c r="B25" t="s">
        <v>153</v>
      </c>
      <c r="C25" s="24" t="b">
        <v>1</v>
      </c>
      <c r="D25" t="s">
        <v>68</v>
      </c>
      <c r="E25" t="s">
        <v>154</v>
      </c>
    </row>
    <row r="26" spans="1:5" x14ac:dyDescent="0.25">
      <c r="A26" t="s">
        <v>166</v>
      </c>
      <c r="B26" t="s">
        <v>161</v>
      </c>
      <c r="C26" t="s">
        <v>163</v>
      </c>
      <c r="D26" t="s">
        <v>71</v>
      </c>
      <c r="E26" t="s">
        <v>165</v>
      </c>
    </row>
    <row r="27" spans="1:5" x14ac:dyDescent="0.25">
      <c r="A27" t="s">
        <v>166</v>
      </c>
      <c r="B27" t="s">
        <v>79</v>
      </c>
      <c r="C27" t="s">
        <v>80</v>
      </c>
      <c r="D27" t="s">
        <v>70</v>
      </c>
      <c r="E27" t="s">
        <v>196</v>
      </c>
    </row>
    <row r="28" spans="1:5" x14ac:dyDescent="0.25">
      <c r="A28" t="s">
        <v>166</v>
      </c>
      <c r="B28" t="s">
        <v>130</v>
      </c>
      <c r="C28" t="s">
        <v>150</v>
      </c>
      <c r="D28" t="s">
        <v>104</v>
      </c>
      <c r="E28" t="s">
        <v>132</v>
      </c>
    </row>
    <row r="29" spans="1:5" x14ac:dyDescent="0.25">
      <c r="A29" t="s">
        <v>166</v>
      </c>
      <c r="B29" t="s">
        <v>81</v>
      </c>
      <c r="C29" s="24" t="b">
        <v>1</v>
      </c>
      <c r="D29" t="s">
        <v>68</v>
      </c>
      <c r="E29" t="s">
        <v>82</v>
      </c>
    </row>
    <row r="30" spans="1:5" x14ac:dyDescent="0.25">
      <c r="A30" t="s">
        <v>166</v>
      </c>
      <c r="B30" t="s">
        <v>83</v>
      </c>
      <c r="C30" s="24" t="b">
        <v>1</v>
      </c>
      <c r="D30" t="s">
        <v>68</v>
      </c>
      <c r="E30" t="s">
        <v>84</v>
      </c>
    </row>
    <row r="31" spans="1:5" x14ac:dyDescent="0.25">
      <c r="A31" t="s">
        <v>166</v>
      </c>
      <c r="B31" t="s">
        <v>102</v>
      </c>
      <c r="D31" t="s">
        <v>104</v>
      </c>
      <c r="E31" t="s">
        <v>103</v>
      </c>
    </row>
    <row r="32" spans="1:5" x14ac:dyDescent="0.25">
      <c r="A32" t="s">
        <v>166</v>
      </c>
      <c r="B32" t="s">
        <v>112</v>
      </c>
      <c r="C32" s="22" t="s">
        <v>113</v>
      </c>
      <c r="D32" s="22" t="s">
        <v>70</v>
      </c>
      <c r="E32" t="s">
        <v>195</v>
      </c>
    </row>
    <row r="33" spans="1:5" x14ac:dyDescent="0.25">
      <c r="A33" t="s">
        <v>166</v>
      </c>
      <c r="B33" t="s">
        <v>131</v>
      </c>
      <c r="D33" t="s">
        <v>104</v>
      </c>
      <c r="E33" t="s">
        <v>133</v>
      </c>
    </row>
    <row r="34" spans="1:5" ht="15.75" customHeight="1" x14ac:dyDescent="0.25">
      <c r="A34" t="s">
        <v>166</v>
      </c>
      <c r="B34" t="s">
        <v>156</v>
      </c>
      <c r="D34" t="s">
        <v>104</v>
      </c>
      <c r="E34" t="s">
        <v>158</v>
      </c>
    </row>
    <row r="35" spans="1:5" x14ac:dyDescent="0.25">
      <c r="A35" t="s">
        <v>166</v>
      </c>
      <c r="B35" t="s">
        <v>199</v>
      </c>
      <c r="D35" t="s">
        <v>104</v>
      </c>
      <c r="E35" t="s">
        <v>157</v>
      </c>
    </row>
    <row r="36" spans="1:5" x14ac:dyDescent="0.25">
      <c r="A36" t="s">
        <v>166</v>
      </c>
      <c r="B36" t="s">
        <v>167</v>
      </c>
      <c r="C36" t="s">
        <v>168</v>
      </c>
      <c r="D36" t="s">
        <v>70</v>
      </c>
      <c r="E36" t="s">
        <v>194</v>
      </c>
    </row>
    <row r="37" spans="1:5" x14ac:dyDescent="0.25">
      <c r="A37" t="s">
        <v>166</v>
      </c>
      <c r="B37" t="s">
        <v>170</v>
      </c>
      <c r="C37" t="s">
        <v>171</v>
      </c>
      <c r="D37" t="s">
        <v>70</v>
      </c>
      <c r="E37" t="s">
        <v>172</v>
      </c>
    </row>
    <row r="38" spans="1:5" x14ac:dyDescent="0.25">
      <c r="A38" t="s">
        <v>166</v>
      </c>
      <c r="B38" t="s">
        <v>173</v>
      </c>
      <c r="C38" s="24" t="b">
        <v>1</v>
      </c>
      <c r="D38" t="s">
        <v>68</v>
      </c>
      <c r="E38" t="s">
        <v>174</v>
      </c>
    </row>
    <row r="39" spans="1:5" x14ac:dyDescent="0.25">
      <c r="A39" t="s">
        <v>166</v>
      </c>
      <c r="B39" t="s">
        <v>185</v>
      </c>
      <c r="C39" s="24" t="b">
        <v>1</v>
      </c>
      <c r="D39" t="s">
        <v>68</v>
      </c>
      <c r="E39" t="s">
        <v>186</v>
      </c>
    </row>
    <row r="40" spans="1:5" x14ac:dyDescent="0.25">
      <c r="A40" t="s">
        <v>166</v>
      </c>
      <c r="B40" t="s">
        <v>187</v>
      </c>
      <c r="C40" t="s">
        <v>188</v>
      </c>
      <c r="D40" t="s">
        <v>70</v>
      </c>
      <c r="E40" t="s">
        <v>193</v>
      </c>
    </row>
    <row r="41" spans="1:5" x14ac:dyDescent="0.25">
      <c r="A41" t="s">
        <v>166</v>
      </c>
      <c r="B41" t="s">
        <v>189</v>
      </c>
      <c r="C41" t="s">
        <v>150</v>
      </c>
      <c r="D41" t="s">
        <v>104</v>
      </c>
      <c r="E41" t="s">
        <v>190</v>
      </c>
    </row>
    <row r="42" spans="1:5" x14ac:dyDescent="0.25">
      <c r="A42" t="s">
        <v>166</v>
      </c>
      <c r="B42" t="s">
        <v>191</v>
      </c>
      <c r="C42">
        <v>2</v>
      </c>
      <c r="D42" t="s">
        <v>69</v>
      </c>
      <c r="E42" t="s">
        <v>192</v>
      </c>
    </row>
  </sheetData>
  <autoFilter ref="B6:E6" xr:uid="{89FFA668-DA1A-459B-BD42-D0D7F7709F0D}"/>
  <conditionalFormatting sqref="C16:C17">
    <cfRule type="cellIs" dxfId="13" priority="11" operator="equal">
      <formula>TRUE</formula>
    </cfRule>
    <cfRule type="cellIs" dxfId="12" priority="12" operator="notEqual">
      <formula>TRUE</formula>
    </cfRule>
  </conditionalFormatting>
  <conditionalFormatting sqref="C22:C23">
    <cfRule type="cellIs" dxfId="11" priority="9" operator="equal">
      <formula>TRUE</formula>
    </cfRule>
    <cfRule type="cellIs" dxfId="10" priority="10" operator="notEqual">
      <formula>TRUE</formula>
    </cfRule>
  </conditionalFormatting>
  <conditionalFormatting sqref="C25">
    <cfRule type="cellIs" dxfId="9" priority="5" operator="equal">
      <formula>TRUE</formula>
    </cfRule>
    <cfRule type="cellIs" dxfId="8" priority="6" operator="notEqual">
      <formula>TRUE</formula>
    </cfRule>
  </conditionalFormatting>
  <conditionalFormatting sqref="C29:C30">
    <cfRule type="cellIs" dxfId="7" priority="7" operator="equal">
      <formula>TRUE</formula>
    </cfRule>
    <cfRule type="cellIs" dxfId="6" priority="8" operator="notEqual">
      <formula>TRUE</formula>
    </cfRule>
  </conditionalFormatting>
  <conditionalFormatting sqref="C38:C39">
    <cfRule type="cellIs" dxfId="5" priority="3" operator="equal">
      <formula>TRUE</formula>
    </cfRule>
    <cfRule type="cellIs" dxfId="4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C6" sqref="C6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151</v>
      </c>
      <c r="B3" s="16" t="s">
        <v>38</v>
      </c>
      <c r="C3" s="16" t="s">
        <v>123</v>
      </c>
      <c r="D3" s="16" t="s">
        <v>30</v>
      </c>
      <c r="E3" s="16" t="s">
        <v>124</v>
      </c>
      <c r="F3" s="16" t="s">
        <v>39</v>
      </c>
      <c r="G3" s="16" t="s">
        <v>125</v>
      </c>
      <c r="H3" s="16" t="s">
        <v>64</v>
      </c>
      <c r="I3" s="16" t="s">
        <v>126</v>
      </c>
      <c r="J3" s="16" t="s">
        <v>127</v>
      </c>
      <c r="K3" s="16" t="s">
        <v>128</v>
      </c>
      <c r="L3" s="16" t="s">
        <v>11</v>
      </c>
      <c r="M3" s="16" t="s">
        <v>129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33</v>
      </c>
      <c r="M4" s="4"/>
      <c r="R4" t="s">
        <v>14</v>
      </c>
    </row>
    <row r="5" spans="1:18" ht="15.75" x14ac:dyDescent="0.3">
      <c r="A5">
        <v>1</v>
      </c>
      <c r="B5" t="s">
        <v>200</v>
      </c>
      <c r="C5" t="s">
        <v>25</v>
      </c>
      <c r="D5" t="str">
        <f t="shared" ref="D5:D6" si="1">_xlfn.CONCAT(B5,":",C5)</f>
        <v>Middle:FI</v>
      </c>
      <c r="E5" t="s">
        <v>14</v>
      </c>
      <c r="F5">
        <v>0</v>
      </c>
      <c r="H5" t="s">
        <v>33</v>
      </c>
      <c r="M5" s="4"/>
      <c r="R5" t="s">
        <v>200</v>
      </c>
    </row>
    <row r="6" spans="1:18" ht="15.75" x14ac:dyDescent="0.3">
      <c r="A6">
        <v>2</v>
      </c>
      <c r="B6" t="s">
        <v>205</v>
      </c>
      <c r="C6" t="s">
        <v>25</v>
      </c>
      <c r="D6" t="str">
        <f t="shared" si="1"/>
        <v>Sink1:FI</v>
      </c>
      <c r="E6" t="s">
        <v>14</v>
      </c>
      <c r="F6">
        <v>0</v>
      </c>
      <c r="H6" t="s">
        <v>33</v>
      </c>
      <c r="M6" s="4"/>
      <c r="R6" t="s">
        <v>205</v>
      </c>
    </row>
    <row r="7" spans="1:18" ht="15.75" x14ac:dyDescent="0.3">
      <c r="A7">
        <v>3</v>
      </c>
      <c r="B7" t="s">
        <v>206</v>
      </c>
      <c r="C7" t="s">
        <v>25</v>
      </c>
      <c r="D7" t="str">
        <f t="shared" ref="D7" si="2">_xlfn.CONCAT(B7,":",C7)</f>
        <v>Sink2:FI</v>
      </c>
      <c r="E7" t="s">
        <v>14</v>
      </c>
      <c r="F7">
        <v>0</v>
      </c>
      <c r="H7" t="s">
        <v>33</v>
      </c>
      <c r="M7" s="4"/>
      <c r="R7" t="s">
        <v>206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2"/>
  <sheetViews>
    <sheetView topLeftCell="A3" zoomScaleNormal="100" workbookViewId="0">
      <selection activeCell="B6" sqref="B6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148</v>
      </c>
      <c r="P2" s="2"/>
    </row>
    <row r="3" spans="1:16" ht="59.25" customHeight="1" x14ac:dyDescent="0.25">
      <c r="A3" s="15" t="s">
        <v>152</v>
      </c>
      <c r="B3" s="9" t="s">
        <v>134</v>
      </c>
      <c r="C3" s="9" t="s">
        <v>124</v>
      </c>
      <c r="D3" s="9" t="s">
        <v>135</v>
      </c>
      <c r="E3" s="9" t="s">
        <v>136</v>
      </c>
      <c r="F3" s="9" t="s">
        <v>124</v>
      </c>
      <c r="G3" s="9" t="s">
        <v>137</v>
      </c>
      <c r="H3" s="9" t="s">
        <v>138</v>
      </c>
      <c r="I3" s="9" t="s">
        <v>139</v>
      </c>
      <c r="J3" s="9" t="s">
        <v>37</v>
      </c>
      <c r="K3" s="9" t="s">
        <v>8</v>
      </c>
      <c r="L3" s="9" t="s">
        <v>24</v>
      </c>
      <c r="M3" s="9" t="s">
        <v>140</v>
      </c>
      <c r="N3" s="10" t="s">
        <v>141</v>
      </c>
      <c r="O3" s="11" t="s">
        <v>147</v>
      </c>
      <c r="P3" s="12" t="s">
        <v>13</v>
      </c>
    </row>
    <row r="4" spans="1:16" x14ac:dyDescent="0.25">
      <c r="A4" t="s">
        <v>32</v>
      </c>
      <c r="B4" t="s">
        <v>14</v>
      </c>
      <c r="C4" t="str">
        <f>+_xlfn.XLOOKUP(H4,Processes!$D$4:$D$39,Processes!$E$4:$E$39)</f>
        <v>Source</v>
      </c>
      <c r="D4" t="s">
        <v>25</v>
      </c>
      <c r="E4" t="s">
        <v>200</v>
      </c>
      <c r="F4" t="str">
        <f>+_xlfn.XLOOKUP(I4,Processes!$D$4:$D$39,Processes!$E$4:$E$39)</f>
        <v>Source</v>
      </c>
      <c r="G4" t="s">
        <v>25</v>
      </c>
      <c r="H4" s="3" t="str">
        <f t="shared" ref="H4:H5" si="0">_xlfn.CONCAT(B4,":",D4)</f>
        <v>Source:FI</v>
      </c>
      <c r="I4" s="3" t="str">
        <f t="shared" ref="I4:I5" si="1">_xlfn.CONCAT(E4,":",G4)</f>
        <v>Middle:FI</v>
      </c>
      <c r="J4">
        <v>100</v>
      </c>
      <c r="K4" t="s">
        <v>31</v>
      </c>
      <c r="L4">
        <v>2000</v>
      </c>
      <c r="N4" t="s">
        <v>201</v>
      </c>
      <c r="P4" s="13"/>
    </row>
    <row r="5" spans="1:16" x14ac:dyDescent="0.25">
      <c r="B5" t="s">
        <v>200</v>
      </c>
      <c r="C5" t="str">
        <f>+_xlfn.XLOOKUP(H5,Processes!$D$4:$D$39,Processes!$E$4:$E$39)</f>
        <v>Source</v>
      </c>
      <c r="D5" t="s">
        <v>25</v>
      </c>
      <c r="E5" t="s">
        <v>205</v>
      </c>
      <c r="F5" t="str">
        <f>+_xlfn.XLOOKUP(I5,Processes!$D$4:$D$39,Processes!$E$4:$E$39)</f>
        <v>Source</v>
      </c>
      <c r="G5" t="s">
        <v>25</v>
      </c>
      <c r="H5" s="3" t="str">
        <f t="shared" si="0"/>
        <v>Middle:FI</v>
      </c>
      <c r="I5" s="3" t="str">
        <f t="shared" si="1"/>
        <v>Sink1:FI</v>
      </c>
      <c r="J5">
        <v>50</v>
      </c>
      <c r="K5" t="s">
        <v>9</v>
      </c>
      <c r="L5">
        <v>2000</v>
      </c>
      <c r="N5" t="s">
        <v>201</v>
      </c>
      <c r="P5" s="13"/>
    </row>
    <row r="6" spans="1:16" x14ac:dyDescent="0.25">
      <c r="B6" t="s">
        <v>200</v>
      </c>
      <c r="C6" t="str">
        <f>+_xlfn.XLOOKUP(H6,Processes!$D$4:$D$39,Processes!$E$4:$E$39)</f>
        <v>Source</v>
      </c>
      <c r="D6" t="s">
        <v>25</v>
      </c>
      <c r="E6" t="s">
        <v>206</v>
      </c>
      <c r="F6" t="str">
        <f>+_xlfn.XLOOKUP(I6,Processes!$D$4:$D$39,Processes!$E$4:$E$39)</f>
        <v>Source</v>
      </c>
      <c r="G6" t="s">
        <v>25</v>
      </c>
      <c r="H6" s="3" t="str">
        <f t="shared" ref="H6" si="2">_xlfn.CONCAT(B6,":",D6)</f>
        <v>Middle:FI</v>
      </c>
      <c r="I6" s="3" t="str">
        <f t="shared" ref="I6" si="3">_xlfn.CONCAT(E6,":",G6)</f>
        <v>Sink2:FI</v>
      </c>
      <c r="J6">
        <v>50</v>
      </c>
      <c r="K6" t="s">
        <v>9</v>
      </c>
      <c r="L6">
        <v>2000</v>
      </c>
      <c r="N6" t="s">
        <v>201</v>
      </c>
      <c r="P6" s="13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  <c r="N14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</row>
    <row r="19" spans="5:14" x14ac:dyDescent="0.25">
      <c r="H19" s="3"/>
      <c r="I19" s="3"/>
      <c r="N19" s="6"/>
    </row>
    <row r="20" spans="5:14" x14ac:dyDescent="0.25">
      <c r="H20" s="3"/>
      <c r="I20" s="3"/>
      <c r="N20" s="6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H25" s="3"/>
      <c r="I25" s="3"/>
    </row>
    <row r="26" spans="5:14" x14ac:dyDescent="0.25">
      <c r="E26" s="13"/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H35" s="3"/>
      <c r="I35" s="3"/>
      <c r="N35"/>
    </row>
    <row r="36" spans="3:14" x14ac:dyDescent="0.25">
      <c r="C36" s="8"/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H76" s="3"/>
      <c r="I76" s="3"/>
      <c r="N76"/>
    </row>
    <row r="77" spans="2:14" x14ac:dyDescent="0.25">
      <c r="N77"/>
    </row>
    <row r="78" spans="2:14" x14ac:dyDescent="0.25">
      <c r="B78" s="3"/>
      <c r="D78" s="3"/>
      <c r="E78" s="3"/>
      <c r="G78" s="3"/>
      <c r="H78" s="3"/>
      <c r="I78" s="3"/>
      <c r="M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  <row r="82" spans="8:14" x14ac:dyDescent="0.25">
      <c r="H82" s="3"/>
      <c r="I82" s="3"/>
      <c r="N82"/>
    </row>
  </sheetData>
  <autoFilter ref="A3:P5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2" sqref="H2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175</v>
      </c>
      <c r="G1" s="2" t="s">
        <v>175</v>
      </c>
      <c r="H1" s="2" t="s">
        <v>175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176</v>
      </c>
      <c r="B3" s="9" t="s">
        <v>30</v>
      </c>
      <c r="C3" s="9" t="s">
        <v>39</v>
      </c>
      <c r="D3" s="9" t="s">
        <v>90</v>
      </c>
      <c r="E3" s="9" t="s">
        <v>91</v>
      </c>
      <c r="F3" s="9" t="s">
        <v>177</v>
      </c>
      <c r="G3" s="9" t="s">
        <v>178</v>
      </c>
      <c r="H3" s="9" t="s">
        <v>179</v>
      </c>
      <c r="I3" s="10" t="s">
        <v>180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30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7"/>
  <sheetViews>
    <sheetView workbookViewId="0">
      <selection activeCell="F7" sqref="F7"/>
    </sheetView>
  </sheetViews>
  <sheetFormatPr defaultRowHeight="15" x14ac:dyDescent="0.25"/>
  <cols>
    <col min="1" max="1" width="27.71093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212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155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169</v>
      </c>
      <c r="L1" s="25" t="s">
        <v>93</v>
      </c>
      <c r="M1" s="25" t="s">
        <v>93</v>
      </c>
    </row>
    <row r="2" spans="1:13" x14ac:dyDescent="0.25">
      <c r="A2" t="s">
        <v>211</v>
      </c>
      <c r="B2" t="s">
        <v>203</v>
      </c>
      <c r="C2" s="3" t="s">
        <v>202</v>
      </c>
      <c r="D2" s="3" t="s">
        <v>207</v>
      </c>
      <c r="E2">
        <v>0</v>
      </c>
      <c r="G2" t="s">
        <v>9</v>
      </c>
      <c r="H2">
        <v>2005</v>
      </c>
      <c r="I2">
        <v>2010</v>
      </c>
      <c r="J2" t="s">
        <v>99</v>
      </c>
      <c r="K2" s="24" t="b">
        <v>0</v>
      </c>
    </row>
    <row r="3" spans="1:13" x14ac:dyDescent="0.25">
      <c r="A3" t="s">
        <v>211</v>
      </c>
      <c r="B3" t="s">
        <v>209</v>
      </c>
      <c r="C3" s="3" t="s">
        <v>202</v>
      </c>
      <c r="D3" s="3" t="s">
        <v>207</v>
      </c>
      <c r="E3">
        <v>0</v>
      </c>
      <c r="G3" t="s">
        <v>9</v>
      </c>
      <c r="H3">
        <v>2005</v>
      </c>
      <c r="I3">
        <v>2010</v>
      </c>
      <c r="J3" t="s">
        <v>99</v>
      </c>
      <c r="K3" s="24" t="b">
        <v>1</v>
      </c>
      <c r="L3" t="s">
        <v>208</v>
      </c>
    </row>
    <row r="4" spans="1:13" x14ac:dyDescent="0.25">
      <c r="A4" t="s">
        <v>211</v>
      </c>
      <c r="B4" t="s">
        <v>216</v>
      </c>
      <c r="C4" s="3" t="s">
        <v>202</v>
      </c>
      <c r="D4" s="3" t="s">
        <v>207</v>
      </c>
      <c r="F4">
        <v>50</v>
      </c>
      <c r="G4" t="s">
        <v>37</v>
      </c>
      <c r="H4">
        <v>2005</v>
      </c>
      <c r="I4">
        <v>2010</v>
      </c>
      <c r="J4" t="s">
        <v>99</v>
      </c>
      <c r="K4" s="24" t="b">
        <v>0</v>
      </c>
    </row>
    <row r="5" spans="1:13" x14ac:dyDescent="0.25">
      <c r="A5" t="s">
        <v>211</v>
      </c>
      <c r="B5" t="s">
        <v>217</v>
      </c>
      <c r="C5" s="3" t="s">
        <v>202</v>
      </c>
      <c r="D5" s="3" t="s">
        <v>207</v>
      </c>
      <c r="F5">
        <v>50</v>
      </c>
      <c r="G5" t="s">
        <v>37</v>
      </c>
      <c r="H5">
        <v>2005</v>
      </c>
      <c r="I5">
        <v>2010</v>
      </c>
      <c r="J5" t="s">
        <v>99</v>
      </c>
      <c r="K5" s="24" t="b">
        <v>1</v>
      </c>
      <c r="L5" t="s">
        <v>208</v>
      </c>
    </row>
    <row r="6" spans="1:13" x14ac:dyDescent="0.25">
      <c r="A6" t="s">
        <v>215</v>
      </c>
      <c r="B6" t="s">
        <v>216</v>
      </c>
      <c r="C6" s="3" t="s">
        <v>202</v>
      </c>
      <c r="D6" s="3" t="s">
        <v>207</v>
      </c>
      <c r="F6">
        <v>150</v>
      </c>
      <c r="G6" t="s">
        <v>9</v>
      </c>
      <c r="H6">
        <v>2005</v>
      </c>
      <c r="I6">
        <v>2010</v>
      </c>
      <c r="J6" t="s">
        <v>99</v>
      </c>
      <c r="K6" s="24" t="b">
        <v>0</v>
      </c>
    </row>
    <row r="7" spans="1:13" x14ac:dyDescent="0.25">
      <c r="A7" t="s">
        <v>215</v>
      </c>
      <c r="B7" t="s">
        <v>216</v>
      </c>
      <c r="C7" s="3" t="s">
        <v>202</v>
      </c>
      <c r="D7" s="3" t="s">
        <v>208</v>
      </c>
      <c r="F7">
        <v>150</v>
      </c>
      <c r="G7" t="s">
        <v>9</v>
      </c>
      <c r="H7">
        <v>2005</v>
      </c>
      <c r="I7">
        <v>2010</v>
      </c>
      <c r="J7" t="s">
        <v>99</v>
      </c>
      <c r="K7" s="24" t="b">
        <v>0</v>
      </c>
    </row>
  </sheetData>
  <conditionalFormatting sqref="K2:K7">
    <cfRule type="cellIs" dxfId="3" priority="1" operator="equal">
      <formula>TRUE</formula>
    </cfRule>
    <cfRule type="cellIs" dxfId="2" priority="2" operator="notEqual">
      <formula>TRUE</formula>
    </cfRule>
  </conditionalFormatting>
  <dataValidations count="1">
    <dataValidation type="list" allowBlank="1" showInputMessage="1" showErrorMessage="1" sqref="K2:K7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K8:K1048576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AE38-498D-406F-9072-2822FCCC3CC0}">
  <dimension ref="A1:L6"/>
  <sheetViews>
    <sheetView workbookViewId="0"/>
  </sheetViews>
  <sheetFormatPr defaultRowHeight="15" x14ac:dyDescent="0.25"/>
  <sheetData>
    <row r="1" spans="1:12" x14ac:dyDescent="0.25">
      <c r="A1" t="s">
        <v>211</v>
      </c>
      <c r="B1" t="s">
        <v>204</v>
      </c>
      <c r="C1" s="3" t="s">
        <v>202</v>
      </c>
      <c r="D1" s="3" t="s">
        <v>207</v>
      </c>
      <c r="E1">
        <v>50</v>
      </c>
      <c r="G1" t="s">
        <v>9</v>
      </c>
      <c r="H1">
        <v>2005</v>
      </c>
      <c r="I1">
        <v>2010</v>
      </c>
      <c r="J1" t="s">
        <v>99</v>
      </c>
      <c r="K1" s="24" t="b">
        <v>0</v>
      </c>
    </row>
    <row r="2" spans="1:12" x14ac:dyDescent="0.25">
      <c r="A2" t="s">
        <v>211</v>
      </c>
      <c r="B2" t="s">
        <v>209</v>
      </c>
      <c r="C2" s="3" t="s">
        <v>202</v>
      </c>
      <c r="D2" s="3" t="s">
        <v>207</v>
      </c>
      <c r="E2">
        <v>0</v>
      </c>
      <c r="G2" t="s">
        <v>9</v>
      </c>
      <c r="H2">
        <v>2005</v>
      </c>
      <c r="I2">
        <v>2010</v>
      </c>
      <c r="J2" t="s">
        <v>99</v>
      </c>
      <c r="K2" s="24" t="b">
        <v>1</v>
      </c>
      <c r="L2" t="s">
        <v>208</v>
      </c>
    </row>
    <row r="3" spans="1:12" x14ac:dyDescent="0.25">
      <c r="A3" t="s">
        <v>211</v>
      </c>
      <c r="B3" t="s">
        <v>210</v>
      </c>
      <c r="C3" s="3" t="s">
        <v>202</v>
      </c>
      <c r="D3" s="3" t="s">
        <v>207</v>
      </c>
      <c r="E3">
        <v>50</v>
      </c>
      <c r="G3" t="s">
        <v>9</v>
      </c>
      <c r="H3">
        <v>2005</v>
      </c>
      <c r="I3">
        <v>2010</v>
      </c>
      <c r="J3" t="s">
        <v>99</v>
      </c>
      <c r="K3" s="24" t="b">
        <v>1</v>
      </c>
      <c r="L3" t="s">
        <v>208</v>
      </c>
    </row>
    <row r="4" spans="1:12" x14ac:dyDescent="0.25">
      <c r="A4" t="s">
        <v>211</v>
      </c>
      <c r="B4" t="s">
        <v>213</v>
      </c>
      <c r="C4" s="3" t="s">
        <v>202</v>
      </c>
      <c r="D4" s="3" t="s">
        <v>207</v>
      </c>
      <c r="F4">
        <v>100</v>
      </c>
      <c r="G4" t="s">
        <v>9</v>
      </c>
      <c r="H4">
        <v>2005</v>
      </c>
      <c r="I4">
        <v>2010</v>
      </c>
      <c r="J4" t="s">
        <v>99</v>
      </c>
      <c r="K4" s="24" t="b">
        <v>0</v>
      </c>
    </row>
    <row r="5" spans="1:12" x14ac:dyDescent="0.25">
      <c r="A5" t="s">
        <v>211</v>
      </c>
      <c r="B5" t="s">
        <v>214</v>
      </c>
      <c r="C5" s="3" t="s">
        <v>202</v>
      </c>
      <c r="D5" s="3" t="s">
        <v>207</v>
      </c>
      <c r="F5">
        <v>60</v>
      </c>
      <c r="G5" t="s">
        <v>9</v>
      </c>
      <c r="H5">
        <v>2005</v>
      </c>
      <c r="I5">
        <v>2010</v>
      </c>
      <c r="J5" t="s">
        <v>99</v>
      </c>
      <c r="K5" s="24" t="b">
        <v>1</v>
      </c>
      <c r="L5" t="s">
        <v>208</v>
      </c>
    </row>
    <row r="6" spans="1:12" x14ac:dyDescent="0.25">
      <c r="A6" t="s">
        <v>211</v>
      </c>
      <c r="B6" t="s">
        <v>214</v>
      </c>
      <c r="C6" s="3" t="s">
        <v>202</v>
      </c>
      <c r="D6" s="3" t="s">
        <v>208</v>
      </c>
      <c r="F6">
        <v>60</v>
      </c>
      <c r="G6" t="s">
        <v>9</v>
      </c>
      <c r="H6">
        <v>2005</v>
      </c>
      <c r="I6">
        <v>2010</v>
      </c>
      <c r="J6" t="s">
        <v>99</v>
      </c>
      <c r="K6" s="24" t="b">
        <v>1</v>
      </c>
      <c r="L6" t="s">
        <v>207</v>
      </c>
    </row>
  </sheetData>
  <conditionalFormatting sqref="K1:K6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1:K6" xr:uid="{71D8361A-1F87-4D64-9C7D-DDFB778866A3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9499D1-DA81-4F7A-B561-7D3A071940BC}">
          <x14:formula1>
            <xm:f>'Data validation parameters'!$E$6:$E$7</xm:f>
          </x14:formula1>
          <xm:sqref>G1:G6</xm:sqref>
        </x14:dataValidation>
        <x14:dataValidation type="list" allowBlank="1" showInputMessage="1" showErrorMessage="1" xr:uid="{1489C91B-53A2-489E-8A55-B9C9F45621AC}">
          <x14:formula1>
            <xm:f>'Data validation parameters'!$F$6:$F$9</xm:f>
          </x14:formula1>
          <xm:sqref>J1:J6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105</v>
      </c>
      <c r="B1" s="1" t="s">
        <v>106</v>
      </c>
    </row>
    <row r="2" spans="1:3" x14ac:dyDescent="0.25">
      <c r="A2" t="s">
        <v>14</v>
      </c>
      <c r="B2" t="s">
        <v>115</v>
      </c>
    </row>
    <row r="3" spans="1:3" x14ac:dyDescent="0.25">
      <c r="A3" t="s">
        <v>15</v>
      </c>
      <c r="B3" t="s">
        <v>108</v>
      </c>
    </row>
    <row r="4" spans="1:3" x14ac:dyDescent="0.25">
      <c r="A4" t="s">
        <v>16</v>
      </c>
      <c r="B4" t="s">
        <v>109</v>
      </c>
    </row>
    <row r="5" spans="1:3" x14ac:dyDescent="0.25">
      <c r="A5" t="s">
        <v>28</v>
      </c>
      <c r="B5" t="s">
        <v>110</v>
      </c>
    </row>
    <row r="6" spans="1:3" x14ac:dyDescent="0.25">
      <c r="A6" t="s">
        <v>17</v>
      </c>
      <c r="B6" t="s">
        <v>111</v>
      </c>
    </row>
    <row r="7" spans="1:3" x14ac:dyDescent="0.25">
      <c r="A7" t="s">
        <v>26</v>
      </c>
      <c r="B7" t="s">
        <v>116</v>
      </c>
    </row>
    <row r="8" spans="1:3" x14ac:dyDescent="0.25">
      <c r="A8" t="s">
        <v>27</v>
      </c>
      <c r="B8" t="s">
        <v>117</v>
      </c>
    </row>
    <row r="9" spans="1:3" x14ac:dyDescent="0.25">
      <c r="A9" t="s">
        <v>107</v>
      </c>
      <c r="B9" t="s">
        <v>114</v>
      </c>
      <c r="C9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95</v>
      </c>
    </row>
    <row r="3" spans="2:8" x14ac:dyDescent="0.25">
      <c r="B3" t="s">
        <v>96</v>
      </c>
    </row>
    <row r="5" spans="2:8" x14ac:dyDescent="0.25">
      <c r="B5" s="18" t="s">
        <v>64</v>
      </c>
      <c r="C5" s="18" t="s">
        <v>52</v>
      </c>
      <c r="D5" s="18" t="s">
        <v>73</v>
      </c>
      <c r="E5" s="18" t="s">
        <v>97</v>
      </c>
      <c r="F5" s="18" t="s">
        <v>92</v>
      </c>
      <c r="G5" s="18" t="s">
        <v>162</v>
      </c>
      <c r="H5" s="18" t="s">
        <v>181</v>
      </c>
    </row>
    <row r="6" spans="2:8" x14ac:dyDescent="0.25">
      <c r="B6" t="s">
        <v>33</v>
      </c>
      <c r="C6" t="b">
        <v>1</v>
      </c>
      <c r="D6" t="s">
        <v>74</v>
      </c>
      <c r="E6" t="s">
        <v>37</v>
      </c>
      <c r="F6" t="s">
        <v>98</v>
      </c>
      <c r="G6" t="s">
        <v>163</v>
      </c>
      <c r="H6" t="s">
        <v>182</v>
      </c>
    </row>
    <row r="7" spans="2:8" x14ac:dyDescent="0.25">
      <c r="B7" t="s">
        <v>29</v>
      </c>
      <c r="C7" t="b">
        <v>0</v>
      </c>
      <c r="D7" t="s">
        <v>75</v>
      </c>
      <c r="E7" t="s">
        <v>9</v>
      </c>
      <c r="F7" t="s">
        <v>99</v>
      </c>
      <c r="G7" t="s">
        <v>164</v>
      </c>
      <c r="H7" t="s">
        <v>183</v>
      </c>
    </row>
    <row r="8" spans="2:8" x14ac:dyDescent="0.25">
      <c r="B8" t="s">
        <v>34</v>
      </c>
      <c r="D8" t="s">
        <v>76</v>
      </c>
      <c r="F8" t="s">
        <v>100</v>
      </c>
      <c r="H8" t="s">
        <v>184</v>
      </c>
    </row>
    <row r="9" spans="2:8" x14ac:dyDescent="0.25">
      <c r="B9" t="s">
        <v>36</v>
      </c>
      <c r="D9" t="s">
        <v>77</v>
      </c>
      <c r="F9" t="s">
        <v>101</v>
      </c>
    </row>
    <row r="10" spans="2:8" x14ac:dyDescent="0.25">
      <c r="B10" t="s">
        <v>35</v>
      </c>
    </row>
    <row r="11" spans="2:8" x14ac:dyDescent="0.25">
      <c r="B11" t="s">
        <v>78</v>
      </c>
    </row>
    <row r="12" spans="2:8" x14ac:dyDescent="0.25">
      <c r="B12" t="s">
        <v>159</v>
      </c>
    </row>
    <row r="13" spans="2:8" x14ac:dyDescent="0.25">
      <c r="B13" t="s">
        <v>160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Settings</vt:lpstr>
      <vt:lpstr>Processes</vt:lpstr>
      <vt:lpstr>Flows</vt:lpstr>
      <vt:lpstr>Stock lifetime overrides</vt:lpstr>
      <vt:lpstr>Process positions</vt:lpstr>
      <vt:lpstr>Scenarios</vt:lpstr>
      <vt:lpstr>Sheet1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