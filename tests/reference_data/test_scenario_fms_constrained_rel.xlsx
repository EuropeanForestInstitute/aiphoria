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E0E22FC8-0376-469B-8F19-3CCFA8F5F50D}" xr6:coauthVersionLast="47" xr6:coauthVersionMax="47" xr10:uidLastSave="{00000000-0000-0000-0000-000000000000}"/>
  <bookViews>
    <workbookView xWindow="5490" yWindow="2505" windowWidth="21600" windowHeight="11295" firstSheet="1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Sheet1" sheetId="16" r:id="rId7"/>
    <sheet name="Colors" sheetId="13" r:id="rId8"/>
    <sheet name="Data validation parameters" sheetId="9" r:id="rId9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F6" i="1" s="1"/>
  <c r="H6" i="1"/>
  <c r="C6" i="1"/>
  <c r="D7" i="6"/>
  <c r="D6" i="6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<sst xmlns="http://schemas.openxmlformats.org/spreadsheetml/2006/main" count="429" uniqueCount="218">
  <si>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</si>
  <si>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</si>
  <si>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</si>
  <si>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</si>
  <si>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</si>
  <si>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</si>
  <si>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</si>
  <si>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</si>
  <si>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</si>
  <si>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</si>
  <si>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</si>
  <si>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</si>
  <si>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</si>
  <si>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</si>
  <si>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</si>
  <si>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</si>
  <si>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</si>
  <si>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</si>
  <si>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</si>
  <si>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</si>
  <si>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</si>
  <si>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</si>
  <si>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</si>
  <si>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</si>
  <si>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</si>
  <si>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</si>
  <si>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</si>
  <si>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</si>
  <si>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</si>
  <si>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</si>
  <si>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</si>
  <si>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</si>
  <si>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</si>
  <si>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</si>
  <si>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</si>
  <si>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</si>
  <si>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</si>
  <si>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</si>
  <si>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</si>
  <si>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</si>
  <si>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</si>
  <si>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</si>
  <si>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</si>
  <si>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</si>
  <si>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</si>
  <si>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</si>
  <si>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</si>
  <si>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</si>
  <si>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</si>
  <si>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</si>
  <si>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</si>
  <si>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</si>
  <si>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</si>
  <si>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</si>
  <si>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</si>
  <si>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</si>
  <si>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</si>
  <si>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</si>
  <si>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</si>
  <si>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</si>
  <si>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</si>
  <si>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</si>
  <si>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</si>
  <si>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</si>
  <si>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</si>
  <si>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</si>
  <si>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</si>
  <si>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</si>
  <si>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</si>
  <si>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</si>
  <si>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</si>
  <si>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</si>
  <si>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</si>
  <si>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</si>
  <si>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</si>
  <si>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</si>
  <si>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</si>
  <si>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</si>
  <si>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</si>
  <si>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</si>
  <si>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</si>
  <si>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</si>
  <si>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</si>
  <si>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</si>
  <si>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</si>
  <si>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</si>
  <si>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</si>
  <si>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</si>
  <si>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</si>
  <si>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</si>
  <si>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</si>
  <si>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</si>
  <si>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</si>
  <si>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</si>
  <si>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</si>
  <si>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</si>
  <si>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</si>
  <si>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</si>
  <si>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</si>
  <si>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</si>
  <si>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</si>
  <si>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</si>
  <si>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</si>
  <si>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</si>
  <si>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</si>
  <si>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</si>
  <si>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</si>
  <si>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</si>
  <si>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</si>
  <si>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</si>
  <si>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</si>
  <si>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</si>
  <si>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</si>
  <si>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</si>
  <si>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</si>
  <si>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</si>
  <si>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</si>
  <si>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</si>
  <si>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</si>
  <si>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</si>
  <si>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</si>
  <si>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</si>
  <si>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</si>
  <si>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</si>
  <si>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</si>
  <si>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</si>
  <si>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</si>
  <si>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</si>
  <si>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</si>
  <si>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</si>
  <si>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</si>
  <si>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</si>
  <si>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</si>
  <si>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</si>
  <si>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</si>
  <si>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</si>
  <si>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</si>
  <si>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</si>
  <si>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</si>
  <si>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</si>
  <si>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</si>
  <si>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</si>
  <si>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</si>
  <si>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</si>
  <si>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</si>
  <si>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</si>
  <si>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</si>
  <si>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</si>
  <si>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</si>
  <si>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</si>
  <si>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</si>
  <si>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</si>
  <si>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</si>
  <si>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</si>
  <si>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</si>
  <si>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</si>
  <si>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</si>
  <si>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</si>
  <si>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</si>
  <si>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</si>
  <si>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</si>
  <si>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</si>
  <si>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</si>
  <si>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</si>
  <si>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</si>
  <si>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</si>
  <si>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</si>
  <si>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</si>
  <si>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</si>
  <si>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</si>
  <si>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</si>
  <si>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</si>
  <si>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</si>
  <si>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</si>
  <si>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</si>
  <si>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</si>
  <si>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</si>
  <si>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</si>
  <si>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</si>
  <si>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</si>
  <si>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</si>
  <si>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</si>
  <si>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</si>
  <si>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</si>
  <si>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</si>
  <si>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</si>
  <si>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</si>
  <si>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</si>
  <si>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</si>
  <si>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</si>
  <si>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</si>
  <si>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</si>
  <si>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</si>
  <si>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</si>
  <si>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</si>
  <si>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</si>
  <si>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</si>
  <si>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</si>
  <si>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</si>
  <si>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</si>
  <si>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</si>
  <si>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Test values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</si>
  <si>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</si>
  <si>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</si>
  <si>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</si>
  <si>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</si>
  <si>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</si>
  <si>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</si>
  <si>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</si>
  <si>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</si>
  <si>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</si>
  <si>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</si>
  <si>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</si>
  <si>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Change - over 100% share</t>
  </si>
  <si>
    <t>Change - targets - target value</t>
  </si>
  <si>
    <t>Fail</t>
  </si>
  <si>
    <t>Target value - siblings</t>
  </si>
  <si>
    <t>Target value - target opposite 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</si>
</sst>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8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5</xdr:col>
      <xdr:colOff>353260</xdr:colOff>
      <xdr:row>20</xdr:row>
      <xdr:rowOff>152767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31283F-1431-41BD-A0E5-380A60A91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1895475"/>
          <a:ext cx="5982535" cy="2629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2" workbookViewId="0">
      <selection activeCell="C25" sqref="C25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163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7" priority="11" operator="equal">
      <formula>TRUE</formula>
    </cfRule>
    <cfRule type="cellIs" dxfId="16" priority="12" operator="notEqual">
      <formula>TRUE</formula>
    </cfRule>
  </conditionalFormatting>
  <conditionalFormatting sqref="C21:C22">
    <cfRule type="cellIs" dxfId="15" priority="9" operator="equal">
      <formula>TRUE</formula>
    </cfRule>
    <cfRule type="cellIs" dxfId="14" priority="10" operator="notEqual">
      <formula>TRUE</formula>
    </cfRule>
  </conditionalFormatting>
  <conditionalFormatting sqref="C24">
    <cfRule type="cellIs" dxfId="13" priority="5" operator="equal">
      <formula>TRUE</formula>
    </cfRule>
    <cfRule type="cellIs" dxfId="12" priority="6" operator="notEqual">
      <formula>TRUE</formula>
    </cfRule>
  </conditionalFormatting>
  <conditionalFormatting sqref="C28:C29">
    <cfRule type="cellIs" dxfId="11" priority="7" operator="equal">
      <formula>TRUE</formula>
    </cfRule>
    <cfRule type="cellIs" dxfId="10" priority="8" operator="notEqual">
      <formula>TRUE</formula>
    </cfRule>
  </conditionalFormatting>
  <conditionalFormatting sqref="C37:C38">
    <cfRule type="cellIs" dxfId="9" priority="3" operator="equal">
      <formula>TRUE</formula>
    </cfRule>
    <cfRule type="cellIs" dxfId="8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C6" sqref="C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30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200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200</v>
      </c>
    </row>
    <row r="6" spans="1:18" ht="15.75" x14ac:dyDescent="0.3">
      <c r="A6">
        <v>2</v>
      </c>
      <c r="B6" t="s">
        <v>205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205</v>
      </c>
    </row>
    <row r="7" spans="1:18" ht="15.75" x14ac:dyDescent="0.3">
      <c r="A7">
        <v>3</v>
      </c>
      <c r="B7" t="s">
        <v>206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206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A3" zoomScaleNormal="100" workbookViewId="0">
      <selection activeCell="B6" sqref="B6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201</v>
      </c>
      <c r="P4" s="13"/>
    </row>
    <row r="5" spans="1:16" x14ac:dyDescent="0.25">
      <c r="B5" t="s">
        <v>200</v>
      </c>
      <c r="C5" t="str">
        <f>+_xlfn.XLOOKUP(H5,Processes!$D$4:$D$39,Processes!$E$4:$E$39)</f>
        <v>Source</v>
      </c>
      <c r="D5" t="s">
        <v>25</v>
      </c>
      <c r="E5" t="s">
        <v>205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Sink1:FI</v>
      </c>
      <c r="J5">
        <v>50</v>
      </c>
      <c r="K5" t="s">
        <v>9</v>
      </c>
      <c r="L5">
        <v>2000</v>
      </c>
      <c r="N5" t="s">
        <v>201</v>
      </c>
      <c r="P5" s="13"/>
    </row>
    <row r="6" spans="1:16" x14ac:dyDescent="0.25">
      <c r="B6" t="s">
        <v>200</v>
      </c>
      <c r="C6" t="str">
        <f>+_xlfn.XLOOKUP(H6,Processes!$D$4:$D$39,Processes!$E$4:$E$39)</f>
        <v>Source</v>
      </c>
      <c r="D6" t="s">
        <v>25</v>
      </c>
      <c r="E6" t="s">
        <v>206</v>
      </c>
      <c r="F6" t="str">
        <f>+_xlfn.XLOOKUP(I6,Processes!$D$4:$D$39,Processes!$E$4:$E$39)</f>
        <v>Source</v>
      </c>
      <c r="G6" t="s">
        <v>25</v>
      </c>
      <c r="H6" s="3" t="str">
        <f t="shared" ref="H6" si="2">_xlfn.CONCAT(B6,":",D6)</f>
        <v>Middle:FI</v>
      </c>
      <c r="I6" s="3" t="str">
        <f t="shared" ref="I6" si="3">_xlfn.CONCAT(E6,":",G6)</f>
        <v>Sink2:FI</v>
      </c>
      <c r="J6">
        <v>50</v>
      </c>
      <c r="K6" t="s">
        <v>9</v>
      </c>
      <c r="L6">
        <v>2000</v>
      </c>
      <c r="N6" t="s">
        <v>201</v>
      </c>
      <c r="P6" s="13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30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7"/>
  <sheetViews>
    <sheetView tabSelected="1" workbookViewId="0">
      <selection activeCell="F7" sqref="F7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212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211</v>
      </c>
      <c r="B2" t="s">
        <v>203</v>
      </c>
      <c r="C2" s="3" t="s">
        <v>202</v>
      </c>
      <c r="D2" s="3" t="s">
        <v>207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4" t="b">
        <v>0</v>
      </c>
    </row>
    <row r="3" spans="1:13" x14ac:dyDescent="0.25">
      <c r="A3" t="s">
        <v>211</v>
      </c>
      <c r="B3" t="s">
        <v>209</v>
      </c>
      <c r="C3" s="3" t="s">
        <v>202</v>
      </c>
      <c r="D3" s="3" t="s">
        <v>207</v>
      </c>
      <c r="E3">
        <v>0</v>
      </c>
      <c r="G3" t="s">
        <v>9</v>
      </c>
      <c r="H3">
        <v>2005</v>
      </c>
      <c r="I3">
        <v>2010</v>
      </c>
      <c r="J3" t="s">
        <v>99</v>
      </c>
      <c r="K3" s="24" t="b">
        <v>1</v>
      </c>
      <c r="L3" t="s">
        <v>208</v>
      </c>
    </row>
    <row r="4" spans="1:13" x14ac:dyDescent="0.25">
      <c r="A4" t="s">
        <v>211</v>
      </c>
      <c r="B4" t="s">
        <v>216</v>
      </c>
      <c r="C4" s="3" t="s">
        <v>202</v>
      </c>
      <c r="D4" s="3" t="s">
        <v>207</v>
      </c>
      <c r="F4">
        <v>50</v>
      </c>
      <c r="G4" t="s">
        <v>37</v>
      </c>
      <c r="H4">
        <v>2005</v>
      </c>
      <c r="I4">
        <v>2010</v>
      </c>
      <c r="J4" t="s">
        <v>99</v>
      </c>
      <c r="K4" s="24" t="b">
        <v>0</v>
      </c>
    </row>
    <row r="5" spans="1:13" x14ac:dyDescent="0.25">
      <c r="A5" t="s">
        <v>211</v>
      </c>
      <c r="B5" t="s">
        <v>217</v>
      </c>
      <c r="C5" s="3" t="s">
        <v>202</v>
      </c>
      <c r="D5" s="3" t="s">
        <v>207</v>
      </c>
      <c r="F5">
        <v>50</v>
      </c>
      <c r="G5" t="s">
        <v>37</v>
      </c>
      <c r="H5">
        <v>2005</v>
      </c>
      <c r="I5">
        <v>2010</v>
      </c>
      <c r="J5" t="s">
        <v>99</v>
      </c>
      <c r="K5" s="24" t="b">
        <v>1</v>
      </c>
      <c r="L5" t="s">
        <v>208</v>
      </c>
    </row>
    <row r="6" spans="1:13" x14ac:dyDescent="0.25">
      <c r="A6" t="s">
        <v>215</v>
      </c>
      <c r="B6" t="s">
        <v>216</v>
      </c>
      <c r="C6" s="3" t="s">
        <v>202</v>
      </c>
      <c r="D6" s="3" t="s">
        <v>207</v>
      </c>
      <c r="F6">
        <v>150</v>
      </c>
      <c r="G6" t="s">
        <v>9</v>
      </c>
      <c r="H6">
        <v>2005</v>
      </c>
      <c r="I6">
        <v>2010</v>
      </c>
      <c r="J6" t="s">
        <v>99</v>
      </c>
      <c r="K6" s="24" t="b">
        <v>0</v>
      </c>
    </row>
    <row r="7" spans="1:13" x14ac:dyDescent="0.25">
      <c r="A7" t="s">
        <v>215</v>
      </c>
      <c r="B7" t="s">
        <v>216</v>
      </c>
      <c r="C7" s="3" t="s">
        <v>202</v>
      </c>
      <c r="D7" s="3" t="s">
        <v>208</v>
      </c>
      <c r="F7">
        <v>150</v>
      </c>
      <c r="G7" t="s">
        <v>9</v>
      </c>
      <c r="H7">
        <v>2005</v>
      </c>
      <c r="I7">
        <v>2010</v>
      </c>
      <c r="J7" t="s">
        <v>99</v>
      </c>
      <c r="K7" s="24" t="b">
        <v>0</v>
      </c>
    </row>
  </sheetData>
  <conditionalFormatting sqref="K2:K7">
    <cfRule type="cellIs" dxfId="7" priority="1" operator="equal">
      <formula>TRUE</formula>
    </cfRule>
    <cfRule type="cellIs" dxfId="6" priority="2" operator="notEqual">
      <formula>TRUE</formula>
    </cfRule>
  </conditionalFormatting>
  <dataValidations count="1">
    <dataValidation type="list" allowBlank="1" showInputMessage="1" showErrorMessage="1" sqref="K2:K7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K8:K1048576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6AE38-498D-406F-9072-2822FCCC3CC0}">
  <dimension ref="A1:L6"/>
  <sheetViews>
    <sheetView workbookViewId="0"/>
  </sheetViews>
  <sheetFormatPr defaultRowHeight="15" x14ac:dyDescent="0.25"/>
  <sheetData>
    <row r="1" spans="1:12" x14ac:dyDescent="0.25">
      <c r="A1" t="s">
        <v>211</v>
      </c>
      <c r="B1" t="s">
        <v>204</v>
      </c>
      <c r="C1" s="3" t="s">
        <v>202</v>
      </c>
      <c r="D1" s="3" t="s">
        <v>207</v>
      </c>
      <c r="E1">
        <v>50</v>
      </c>
      <c r="G1" t="s">
        <v>9</v>
      </c>
      <c r="H1">
        <v>2005</v>
      </c>
      <c r="I1">
        <v>2010</v>
      </c>
      <c r="J1" t="s">
        <v>99</v>
      </c>
      <c r="K1" s="24" t="b">
        <v>0</v>
      </c>
    </row>
    <row r="2" spans="1:12" x14ac:dyDescent="0.25">
      <c r="A2" t="s">
        <v>211</v>
      </c>
      <c r="B2" t="s">
        <v>209</v>
      </c>
      <c r="C2" s="3" t="s">
        <v>202</v>
      </c>
      <c r="D2" s="3" t="s">
        <v>207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4" t="b">
        <v>1</v>
      </c>
      <c r="L2" t="s">
        <v>208</v>
      </c>
    </row>
    <row r="3" spans="1:12" x14ac:dyDescent="0.25">
      <c r="A3" t="s">
        <v>211</v>
      </c>
      <c r="B3" t="s">
        <v>210</v>
      </c>
      <c r="C3" s="3" t="s">
        <v>202</v>
      </c>
      <c r="D3" s="3" t="s">
        <v>207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4" t="b">
        <v>1</v>
      </c>
      <c r="L3" t="s">
        <v>208</v>
      </c>
    </row>
    <row r="4" spans="1:12" x14ac:dyDescent="0.25">
      <c r="A4" t="s">
        <v>211</v>
      </c>
      <c r="B4" t="s">
        <v>213</v>
      </c>
      <c r="C4" s="3" t="s">
        <v>202</v>
      </c>
      <c r="D4" s="3" t="s">
        <v>207</v>
      </c>
      <c r="F4">
        <v>100</v>
      </c>
      <c r="G4" t="s">
        <v>9</v>
      </c>
      <c r="H4">
        <v>2005</v>
      </c>
      <c r="I4">
        <v>2010</v>
      </c>
      <c r="J4" t="s">
        <v>99</v>
      </c>
      <c r="K4" s="24" t="b">
        <v>0</v>
      </c>
    </row>
    <row r="5" spans="1:12" x14ac:dyDescent="0.25">
      <c r="A5" t="s">
        <v>211</v>
      </c>
      <c r="B5" t="s">
        <v>214</v>
      </c>
      <c r="C5" s="3" t="s">
        <v>202</v>
      </c>
      <c r="D5" s="3" t="s">
        <v>207</v>
      </c>
      <c r="F5">
        <v>60</v>
      </c>
      <c r="G5" t="s">
        <v>9</v>
      </c>
      <c r="H5">
        <v>2005</v>
      </c>
      <c r="I5">
        <v>2010</v>
      </c>
      <c r="J5" t="s">
        <v>99</v>
      </c>
      <c r="K5" s="24" t="b">
        <v>1</v>
      </c>
      <c r="L5" t="s">
        <v>208</v>
      </c>
    </row>
    <row r="6" spans="1:12" x14ac:dyDescent="0.25">
      <c r="A6" t="s">
        <v>211</v>
      </c>
      <c r="B6" t="s">
        <v>214</v>
      </c>
      <c r="C6" s="3" t="s">
        <v>202</v>
      </c>
      <c r="D6" s="3" t="s">
        <v>208</v>
      </c>
      <c r="F6">
        <v>60</v>
      </c>
      <c r="G6" t="s">
        <v>9</v>
      </c>
      <c r="H6">
        <v>2005</v>
      </c>
      <c r="I6">
        <v>2010</v>
      </c>
      <c r="J6" t="s">
        <v>99</v>
      </c>
      <c r="K6" s="24" t="b">
        <v>1</v>
      </c>
      <c r="L6" t="s">
        <v>207</v>
      </c>
    </row>
  </sheetData>
  <conditionalFormatting sqref="K1:K6">
    <cfRule type="cellIs" dxfId="5" priority="1" operator="equal">
      <formula>TRUE</formula>
    </cfRule>
    <cfRule type="cellIs" dxfId="4" priority="2" operator="notEqual">
      <formula>TRUE</formula>
    </cfRule>
  </conditionalFormatting>
  <dataValidations count="1">
    <dataValidation type="list" allowBlank="1" showInputMessage="1" showErrorMessage="1" sqref="K1:K6" xr:uid="{71D8361A-1F87-4D64-9C7D-DDFB778866A3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59499D1-DA81-4F7A-B561-7D3A071940BC}">
          <x14:formula1>
            <xm:f>'Data validation parameters'!$E$6:$E$7</xm:f>
          </x14:formula1>
          <xm:sqref>G1:G6</xm:sqref>
        </x14:dataValidation>
        <x14:dataValidation type="list" allowBlank="1" showInputMessage="1" showErrorMessage="1" xr:uid="{1489C91B-53A2-489E-8A55-B9C9F45621AC}">
          <x14:formula1>
            <xm:f>'Data validation parameters'!$F$6:$F$9</xm:f>
          </x14:formula1>
          <xm:sqref>J1:J6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Settings</vt:lpstr>
      <vt:lpstr>Processes</vt:lpstr>
      <vt:lpstr>Flows</vt:lpstr>
      <vt:lpstr>Stock lifetime overrides</vt:lpstr>
      <vt:lpstr>Process positions</vt:lpstr>
      <vt:lpstr>Scenarios</vt:lpstr>
      <vt:lpstr>Sheet1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2026-06-01T10:53:28Z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