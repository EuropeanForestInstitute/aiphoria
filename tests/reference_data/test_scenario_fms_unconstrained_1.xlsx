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85BACE49-E9B1-4E57-82FC-4E97D340BF2B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Flows!$A$3:$P$5</definedName>
    <definedName name="_xlnm._FilterDatabase" localSheetId="1" hidden="1">Processes!$D$3:$R$3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6" l="1"/>
  <c r="D5" i="6"/>
  <c r="D4" i="6"/>
  <c r="H4" i="1" l="1"/>
  <c r="I4" i="1"/>
  <c r="H5" i="1"/>
  <c r="I5" i="1"/>
  <c r="C5" i="1" l="1"/>
  <c r="F5" i="1"/>
  <c r="F4" i="1"/>
  <c r="C4" i="1"/>
</calcChain>
</file>

<file path=xl/sharedStrings.xml><?xml version="1.0" encoding="utf-8"?>
<sst xmlns="http://schemas.openxmlformats.org/spreadsheetml/2006/main" count="354" uniqueCount="211">
  <si>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</si>
  <si>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</si>
  <si>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</si>
  <si>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</si>
  <si>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</si>
  <si>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</si>
  <si>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</si>
  <si>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</si>
  <si>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</si>
  <si>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</si>
  <si>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 xml:space="preserve"> kg/m3</t>
  </si>
  <si>
    <t>Density</t>
  </si>
  <si>
    <t>Modelling status</t>
  </si>
  <si>
    <t>Comment</t>
  </si>
  <si>
    <t>Source</t>
  </si>
  <si>
    <t>First</t>
  </si>
  <si>
    <t>Second</t>
  </si>
  <si>
    <t>RoW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</si>
  <si>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</si>
  <si>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</si>
  <si>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</si>
  <si>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</si>
  <si>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</si>
  <si>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</si>
  <si>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</si>
  <si>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</si>
  <si>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EoL</t>
  </si>
  <si>
    <t>by_prod</t>
  </si>
  <si>
    <t>VAM</t>
  </si>
  <si>
    <t>Normal</t>
  </si>
  <si>
    <t>Process ID</t>
  </si>
  <si>
    <t>Mm3 SWE</t>
  </si>
  <si>
    <t>a</t>
  </si>
  <si>
    <t>b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</si>
  <si>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</si>
  <si>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</si>
  <si>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</si>
  <si>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</si>
  <si>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</si>
  <si>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</si>
  <si>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</si>
  <si>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</si>
  <si>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</si>
  <si>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</si>
  <si>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</si>
  <si>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</si>
  <si>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</si>
  <si>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</si>
  <si>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</si>
  <si>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</si>
  <si>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</si>
  <si>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</si>
  <si>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</si>
  <si>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</si>
  <si>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</si>
  <si>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</si>
  <si>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</si>
  <si>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</si>
  <si>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</si>
  <si>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</si>
  <si>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</si>
  <si>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</si>
  <si>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</si>
  <si>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</si>
  <si>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</si>
  <si>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</si>
  <si>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</si>
  <si>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</si>
  <si>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</si>
  <si>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</si>
  <si>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</si>
  <si>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</si>
  <si>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</si>
  <si>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</si>
  <si>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</si>
  <si>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</si>
  <si>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</si>
  <si>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</si>
  <si>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</si>
  <si>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</si>
  <si>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</si>
  <si>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</si>
  <si>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</si>
  <si>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</si>
  <si>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</si>
  <si>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</si>
  <si>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</si>
  <si>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</si>
  <si>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</si>
  <si>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</si>
  <si>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</si>
  <si>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</si>
  <si>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</si>
  <si>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</si>
  <si>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</si>
  <si>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</si>
  <si>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</si>
  <si>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</si>
  <si>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</si>
  <si>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</si>
  <si>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</si>
  <si>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</si>
  <si>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</si>
  <si>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</si>
  <si>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</si>
  <si>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</si>
  <si>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</si>
  <si>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</si>
  <si>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</si>
  <si>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</si>
  <si>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</si>
  <si>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</si>
  <si>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</si>
  <si>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</si>
  <si>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</si>
  <si>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</si>
  <si>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</si>
  <si>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</si>
  <si>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</si>
  <si>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</si>
  <si>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</si>
  <si>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</si>
  <si>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</si>
  <si>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</si>
  <si>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</si>
  <si>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</si>
  <si>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Lifetime source</t>
  </si>
  <si>
    <t>Distribution parameters</t>
  </si>
  <si>
    <t>Wood content</t>
  </si>
  <si>
    <t>Wood content source</t>
  </si>
  <si>
    <t>Density source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</si>
  <si>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</si>
  <si>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</si>
  <si>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</si>
  <si>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</si>
  <si>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</si>
  <si>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</si>
  <si>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</si>
  <si>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</si>
  <si>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</si>
  <si>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</si>
  <si>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Data source</t>
  </si>
  <si>
    <t>Data source comment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</si>
  <si>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</si>
  <si>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</si>
  <si>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</si>
  <si>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</si>
  <si>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</si>
  <si>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</si>
  <si>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</si>
  <si>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</si>
  <si>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</si>
  <si>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</si>
  <si>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</si>
  <si>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</si>
  <si>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</si>
  <si>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</si>
  <si>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</si>
  <si>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</si>
  <si>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</si>
  <si>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</si>
  <si>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</si>
  <si>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</si>
  <si>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</si>
  <si>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</si>
  <si>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</si>
  <si>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</si>
  <si>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</si>
  <si>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</si>
  <si>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</si>
  <si>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</si>
  <si>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</si>
  <si>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</si>
  <si>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</si>
  <si>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</si>
  <si>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</si>
  <si>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</si>
  <si>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</si>
  <si>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</si>
  <si>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</si>
  <si>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</si>
  <si>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</si>
  <si>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</si>
  <si>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</si>
  <si>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</si>
  <si>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</si>
  <si>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</si>
  <si>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</si>
  <si>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</si>
  <si>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</si>
  <si>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</si>
  <si>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</si>
  <si>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</si>
  <si>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</si>
  <si>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</si>
  <si>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</si>
  <si>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</si>
  <si>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</si>
  <si>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</si>
  <si>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</si>
  <si>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</si>
  <si>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Middle</t>
  </si>
  <si>
    <t>Sink</t>
  </si>
  <si>
    <t>Test values</t>
  </si>
  <si>
    <t>Sink:FI</t>
  </si>
  <si>
    <t>Middle:FI</t>
  </si>
  <si>
    <t>No change - siblings</t>
  </si>
  <si>
    <t>No changes - no targets</t>
  </si>
  <si>
    <t>Comment (expected result)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</si>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</sst>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C4845"/>
      <name val="Open San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2" borderId="0" xfId="0" applyFill="1"/>
    <xf numFmtId="0" fontId="6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6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7</xdr:row>
      <xdr:rowOff>152400</xdr:rowOff>
    </xdr:from>
    <xdr:to>
      <xdr:col>6</xdr:col>
      <xdr:colOff>58212</xdr:colOff>
      <xdr:row>17</xdr:row>
      <xdr:rowOff>143140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3FE414-85B4-D9F8-92E5-1F39CC2FC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3810000"/>
          <a:ext cx="7611537" cy="1895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workbookViewId="0">
      <selection activeCell="B12" sqref="B12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9" t="s">
        <v>42</v>
      </c>
    </row>
    <row r="3" spans="2:5" x14ac:dyDescent="0.25">
      <c r="B3" s="21" t="s">
        <v>61</v>
      </c>
    </row>
    <row r="4" spans="2:5" x14ac:dyDescent="0.25">
      <c r="B4" t="s">
        <v>60</v>
      </c>
      <c r="C4" s="21"/>
      <c r="D4" s="21"/>
      <c r="E4" s="21"/>
    </row>
    <row r="6" spans="2:5" x14ac:dyDescent="0.25">
      <c r="B6" s="9" t="s">
        <v>43</v>
      </c>
      <c r="C6" s="9" t="s">
        <v>38</v>
      </c>
      <c r="D6" s="9" t="s">
        <v>62</v>
      </c>
      <c r="E6" s="9" t="s">
        <v>3</v>
      </c>
    </row>
    <row r="7" spans="2:5" x14ac:dyDescent="0.25">
      <c r="B7" t="s">
        <v>209</v>
      </c>
      <c r="C7" s="22">
        <v>2</v>
      </c>
      <c r="D7" s="23" t="s">
        <v>72</v>
      </c>
      <c r="E7" t="s">
        <v>210</v>
      </c>
    </row>
    <row r="8" spans="2:5" x14ac:dyDescent="0.25">
      <c r="B8" t="s">
        <v>44</v>
      </c>
      <c r="C8" s="23" t="s">
        <v>1</v>
      </c>
      <c r="D8" s="23" t="s">
        <v>72</v>
      </c>
      <c r="E8" t="s">
        <v>199</v>
      </c>
    </row>
    <row r="9" spans="2:5" x14ac:dyDescent="0.25">
      <c r="B9" t="s">
        <v>120</v>
      </c>
      <c r="C9" t="s">
        <v>151</v>
      </c>
      <c r="D9" t="s">
        <v>105</v>
      </c>
      <c r="E9" t="s">
        <v>122</v>
      </c>
    </row>
    <row r="10" spans="2:5" x14ac:dyDescent="0.25">
      <c r="B10" t="s">
        <v>45</v>
      </c>
      <c r="C10" s="22">
        <v>2</v>
      </c>
      <c r="D10" s="22" t="s">
        <v>70</v>
      </c>
      <c r="E10" t="s">
        <v>48</v>
      </c>
    </row>
    <row r="11" spans="2:5" x14ac:dyDescent="0.25">
      <c r="B11" t="s">
        <v>46</v>
      </c>
      <c r="C11" s="23" t="s">
        <v>2</v>
      </c>
      <c r="D11" s="23" t="s">
        <v>71</v>
      </c>
      <c r="E11" t="s">
        <v>198</v>
      </c>
    </row>
    <row r="12" spans="2:5" x14ac:dyDescent="0.25">
      <c r="B12" t="s">
        <v>121</v>
      </c>
      <c r="C12" t="s">
        <v>151</v>
      </c>
      <c r="D12" t="s">
        <v>105</v>
      </c>
      <c r="E12" t="s">
        <v>123</v>
      </c>
    </row>
    <row r="13" spans="2:5" x14ac:dyDescent="0.25">
      <c r="B13" t="s">
        <v>47</v>
      </c>
      <c r="C13" s="22">
        <v>2</v>
      </c>
      <c r="D13" s="22" t="s">
        <v>70</v>
      </c>
      <c r="E13" t="s">
        <v>48</v>
      </c>
    </row>
    <row r="14" spans="2:5" x14ac:dyDescent="0.25">
      <c r="B14" t="s">
        <v>49</v>
      </c>
      <c r="C14" s="22">
        <v>2000</v>
      </c>
      <c r="D14" s="22" t="s">
        <v>70</v>
      </c>
      <c r="E14" t="s">
        <v>50</v>
      </c>
    </row>
    <row r="15" spans="2:5" x14ac:dyDescent="0.25">
      <c r="B15" t="s">
        <v>51</v>
      </c>
      <c r="C15" s="22">
        <v>2010</v>
      </c>
      <c r="D15" s="22" t="s">
        <v>70</v>
      </c>
      <c r="E15" t="s">
        <v>59</v>
      </c>
    </row>
    <row r="16" spans="2:5" x14ac:dyDescent="0.25">
      <c r="B16" t="s">
        <v>52</v>
      </c>
      <c r="C16" s="24" t="b">
        <v>0</v>
      </c>
      <c r="D16" t="s">
        <v>69</v>
      </c>
      <c r="E16" t="s">
        <v>54</v>
      </c>
    </row>
    <row r="17" spans="1:5" x14ac:dyDescent="0.25">
      <c r="B17" t="s">
        <v>55</v>
      </c>
      <c r="C17" s="24" t="b">
        <v>1</v>
      </c>
      <c r="D17" t="s">
        <v>69</v>
      </c>
      <c r="E17" t="s">
        <v>56</v>
      </c>
    </row>
    <row r="18" spans="1:5" x14ac:dyDescent="0.25">
      <c r="B18" t="s">
        <v>63</v>
      </c>
      <c r="C18" s="14">
        <v>0.1</v>
      </c>
      <c r="D18" s="22" t="s">
        <v>73</v>
      </c>
      <c r="E18" t="s">
        <v>64</v>
      </c>
    </row>
    <row r="19" spans="1:5" x14ac:dyDescent="0.25">
      <c r="A19" t="s">
        <v>167</v>
      </c>
      <c r="B19" t="s">
        <v>143</v>
      </c>
      <c r="C19" t="s">
        <v>150</v>
      </c>
      <c r="D19" t="s">
        <v>71</v>
      </c>
      <c r="E19" t="s">
        <v>146</v>
      </c>
    </row>
    <row r="20" spans="1:5" x14ac:dyDescent="0.25">
      <c r="A20" t="s">
        <v>167</v>
      </c>
      <c r="B20" t="s">
        <v>144</v>
      </c>
      <c r="C20" t="s">
        <v>147</v>
      </c>
      <c r="D20" t="s">
        <v>71</v>
      </c>
      <c r="E20" t="s">
        <v>145</v>
      </c>
    </row>
    <row r="21" spans="1:5" x14ac:dyDescent="0.25">
      <c r="A21" t="s">
        <v>167</v>
      </c>
      <c r="B21" t="s">
        <v>57</v>
      </c>
      <c r="C21" s="20">
        <v>-3.6666666666666701</v>
      </c>
      <c r="D21" s="20" t="s">
        <v>73</v>
      </c>
      <c r="E21" t="s">
        <v>58</v>
      </c>
    </row>
    <row r="22" spans="1:5" x14ac:dyDescent="0.25">
      <c r="A22" t="s">
        <v>167</v>
      </c>
      <c r="B22" t="s">
        <v>67</v>
      </c>
      <c r="C22" s="24" t="b">
        <v>1</v>
      </c>
      <c r="D22" t="s">
        <v>69</v>
      </c>
      <c r="E22" t="s">
        <v>68</v>
      </c>
    </row>
    <row r="23" spans="1:5" x14ac:dyDescent="0.25">
      <c r="A23" t="s">
        <v>167</v>
      </c>
      <c r="B23" t="s">
        <v>66</v>
      </c>
      <c r="C23" s="24" t="b">
        <v>1</v>
      </c>
      <c r="D23" t="s">
        <v>69</v>
      </c>
      <c r="E23" t="s">
        <v>68</v>
      </c>
    </row>
    <row r="24" spans="1:5" x14ac:dyDescent="0.25">
      <c r="A24" t="s">
        <v>167</v>
      </c>
      <c r="B24" t="s">
        <v>74</v>
      </c>
      <c r="C24" t="s">
        <v>77</v>
      </c>
      <c r="D24" t="s">
        <v>72</v>
      </c>
      <c r="E24" t="s">
        <v>95</v>
      </c>
    </row>
    <row r="25" spans="1:5" x14ac:dyDescent="0.25">
      <c r="A25" t="s">
        <v>167</v>
      </c>
      <c r="B25" t="s">
        <v>154</v>
      </c>
      <c r="C25" s="24" t="b">
        <v>1</v>
      </c>
      <c r="D25" t="s">
        <v>69</v>
      </c>
      <c r="E25" t="s">
        <v>155</v>
      </c>
    </row>
    <row r="26" spans="1:5" x14ac:dyDescent="0.25">
      <c r="A26" t="s">
        <v>167</v>
      </c>
      <c r="B26" t="s">
        <v>162</v>
      </c>
      <c r="C26" t="s">
        <v>165</v>
      </c>
      <c r="D26" t="s">
        <v>72</v>
      </c>
      <c r="E26" t="s">
        <v>166</v>
      </c>
    </row>
    <row r="27" spans="1:5" x14ac:dyDescent="0.25">
      <c r="A27" t="s">
        <v>167</v>
      </c>
      <c r="B27" t="s">
        <v>80</v>
      </c>
      <c r="C27" t="s">
        <v>81</v>
      </c>
      <c r="D27" t="s">
        <v>71</v>
      </c>
      <c r="E27" t="s">
        <v>197</v>
      </c>
    </row>
    <row r="28" spans="1:5" x14ac:dyDescent="0.25">
      <c r="A28" t="s">
        <v>167</v>
      </c>
      <c r="B28" t="s">
        <v>131</v>
      </c>
      <c r="C28" t="s">
        <v>151</v>
      </c>
      <c r="D28" t="s">
        <v>105</v>
      </c>
      <c r="E28" t="s">
        <v>133</v>
      </c>
    </row>
    <row r="29" spans="1:5" x14ac:dyDescent="0.25">
      <c r="A29" t="s">
        <v>167</v>
      </c>
      <c r="B29" t="s">
        <v>82</v>
      </c>
      <c r="C29" s="24" t="b">
        <v>1</v>
      </c>
      <c r="D29" t="s">
        <v>69</v>
      </c>
      <c r="E29" t="s">
        <v>83</v>
      </c>
    </row>
    <row r="30" spans="1:5" x14ac:dyDescent="0.25">
      <c r="A30" t="s">
        <v>167</v>
      </c>
      <c r="B30" t="s">
        <v>84</v>
      </c>
      <c r="C30" s="24" t="b">
        <v>1</v>
      </c>
      <c r="D30" t="s">
        <v>69</v>
      </c>
      <c r="E30" t="s">
        <v>85</v>
      </c>
    </row>
    <row r="31" spans="1:5" x14ac:dyDescent="0.25">
      <c r="A31" t="s">
        <v>167</v>
      </c>
      <c r="B31" t="s">
        <v>103</v>
      </c>
      <c r="D31" t="s">
        <v>105</v>
      </c>
      <c r="E31" t="s">
        <v>104</v>
      </c>
    </row>
    <row r="32" spans="1:5" x14ac:dyDescent="0.25">
      <c r="A32" t="s">
        <v>167</v>
      </c>
      <c r="B32" t="s">
        <v>113</v>
      </c>
      <c r="C32" s="22" t="s">
        <v>114</v>
      </c>
      <c r="D32" s="22" t="s">
        <v>71</v>
      </c>
      <c r="E32" t="s">
        <v>196</v>
      </c>
    </row>
    <row r="33" spans="1:5" x14ac:dyDescent="0.25">
      <c r="A33" t="s">
        <v>167</v>
      </c>
      <c r="B33" t="s">
        <v>132</v>
      </c>
      <c r="D33" t="s">
        <v>105</v>
      </c>
      <c r="E33" t="s">
        <v>134</v>
      </c>
    </row>
    <row r="34" spans="1:5" ht="15.75" customHeight="1" x14ac:dyDescent="0.25">
      <c r="A34" t="s">
        <v>167</v>
      </c>
      <c r="B34" t="s">
        <v>157</v>
      </c>
      <c r="D34" t="s">
        <v>105</v>
      </c>
      <c r="E34" t="s">
        <v>159</v>
      </c>
    </row>
    <row r="35" spans="1:5" x14ac:dyDescent="0.25">
      <c r="A35" t="s">
        <v>167</v>
      </c>
      <c r="B35" t="s">
        <v>200</v>
      </c>
      <c r="D35" t="s">
        <v>105</v>
      </c>
      <c r="E35" t="s">
        <v>158</v>
      </c>
    </row>
    <row r="36" spans="1:5" x14ac:dyDescent="0.25">
      <c r="A36" t="s">
        <v>167</v>
      </c>
      <c r="B36" t="s">
        <v>168</v>
      </c>
      <c r="C36" t="s">
        <v>169</v>
      </c>
      <c r="D36" t="s">
        <v>71</v>
      </c>
      <c r="E36" t="s">
        <v>195</v>
      </c>
    </row>
    <row r="37" spans="1:5" x14ac:dyDescent="0.25">
      <c r="A37" t="s">
        <v>167</v>
      </c>
      <c r="B37" t="s">
        <v>171</v>
      </c>
      <c r="C37" t="s">
        <v>172</v>
      </c>
      <c r="D37" t="s">
        <v>71</v>
      </c>
      <c r="E37" t="s">
        <v>173</v>
      </c>
    </row>
    <row r="38" spans="1:5" x14ac:dyDescent="0.25">
      <c r="A38" t="s">
        <v>167</v>
      </c>
      <c r="B38" t="s">
        <v>174</v>
      </c>
      <c r="C38" s="24" t="b">
        <v>1</v>
      </c>
      <c r="D38" t="s">
        <v>69</v>
      </c>
      <c r="E38" t="s">
        <v>175</v>
      </c>
    </row>
    <row r="39" spans="1:5" x14ac:dyDescent="0.25">
      <c r="A39" t="s">
        <v>167</v>
      </c>
      <c r="B39" t="s">
        <v>186</v>
      </c>
      <c r="C39" s="24" t="b">
        <v>1</v>
      </c>
      <c r="D39" t="s">
        <v>69</v>
      </c>
      <c r="E39" t="s">
        <v>187</v>
      </c>
    </row>
    <row r="40" spans="1:5" x14ac:dyDescent="0.25">
      <c r="A40" t="s">
        <v>167</v>
      </c>
      <c r="B40" t="s">
        <v>188</v>
      </c>
      <c r="C40" t="s">
        <v>189</v>
      </c>
      <c r="D40" t="s">
        <v>71</v>
      </c>
      <c r="E40" t="s">
        <v>194</v>
      </c>
    </row>
    <row r="41" spans="1:5" x14ac:dyDescent="0.25">
      <c r="A41" t="s">
        <v>167</v>
      </c>
      <c r="B41" t="s">
        <v>190</v>
      </c>
      <c r="C41" t="s">
        <v>151</v>
      </c>
      <c r="D41" t="s">
        <v>105</v>
      </c>
      <c r="E41" t="s">
        <v>191</v>
      </c>
    </row>
    <row r="42" spans="1:5" x14ac:dyDescent="0.25">
      <c r="A42" t="s">
        <v>167</v>
      </c>
      <c r="B42" t="s">
        <v>192</v>
      </c>
      <c r="C42">
        <v>2</v>
      </c>
      <c r="D42" t="s">
        <v>70</v>
      </c>
      <c r="E42" t="s">
        <v>193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R10"/>
  <sheetViews>
    <sheetView zoomScaleNormal="100" workbookViewId="0">
      <selection activeCell="A6" sqref="A6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7" customWidth="1"/>
    <col min="8" max="8" width="12.5703125" bestFit="1" customWidth="1"/>
    <col min="9" max="9" width="25" customWidth="1"/>
    <col min="10" max="10" width="17.42578125" customWidth="1"/>
    <col min="11" max="11" width="24.5703125" customWidth="1"/>
    <col min="12" max="12" width="9.85546875" customWidth="1"/>
    <col min="13" max="13" width="18.28515625" customWidth="1"/>
    <col min="14" max="14" width="10.140625" bestFit="1" customWidth="1"/>
    <col min="15" max="15" width="9.7109375" bestFit="1" customWidth="1"/>
    <col min="16" max="17" width="12.85546875" bestFit="1" customWidth="1"/>
    <col min="18" max="18" width="19.85546875" bestFit="1" customWidth="1"/>
  </cols>
  <sheetData>
    <row r="1" spans="1:18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/>
      <c r="H1" s="2" t="s">
        <v>5</v>
      </c>
      <c r="I1" s="2" t="s">
        <v>41</v>
      </c>
      <c r="J1" s="2" t="s">
        <v>7</v>
      </c>
      <c r="K1" s="2" t="s">
        <v>5</v>
      </c>
      <c r="L1" s="2" t="s">
        <v>7</v>
      </c>
      <c r="M1" s="2" t="s">
        <v>5</v>
      </c>
      <c r="N1" s="2" t="s">
        <v>5</v>
      </c>
      <c r="O1" s="2" t="s">
        <v>5</v>
      </c>
      <c r="P1" s="2" t="s">
        <v>21</v>
      </c>
      <c r="Q1" s="2" t="s">
        <v>7</v>
      </c>
      <c r="R1" s="2" t="s">
        <v>5</v>
      </c>
    </row>
    <row r="2" spans="1:18" x14ac:dyDescent="0.25">
      <c r="A2" s="1"/>
      <c r="B2" s="2"/>
      <c r="C2" s="2"/>
      <c r="D2" s="2"/>
      <c r="E2" s="2"/>
      <c r="F2" s="2" t="s">
        <v>0</v>
      </c>
      <c r="G2" s="2"/>
      <c r="H2" s="2"/>
      <c r="I2" s="7"/>
      <c r="J2" s="2" t="s">
        <v>9</v>
      </c>
      <c r="K2" s="2"/>
      <c r="L2" s="2" t="s">
        <v>10</v>
      </c>
      <c r="M2" s="2"/>
      <c r="N2" s="2"/>
      <c r="O2" s="2"/>
      <c r="P2" s="2"/>
      <c r="Q2" s="1"/>
      <c r="R2" s="1"/>
    </row>
    <row r="3" spans="1:18" s="17" customFormat="1" ht="60" x14ac:dyDescent="0.25">
      <c r="A3" s="15" t="s">
        <v>152</v>
      </c>
      <c r="B3" s="16" t="s">
        <v>39</v>
      </c>
      <c r="C3" s="16" t="s">
        <v>124</v>
      </c>
      <c r="D3" s="16" t="s">
        <v>30</v>
      </c>
      <c r="E3" s="16" t="s">
        <v>125</v>
      </c>
      <c r="F3" s="16" t="s">
        <v>40</v>
      </c>
      <c r="G3" s="16" t="s">
        <v>126</v>
      </c>
      <c r="H3" s="16" t="s">
        <v>65</v>
      </c>
      <c r="I3" s="16" t="s">
        <v>127</v>
      </c>
      <c r="J3" s="16" t="s">
        <v>128</v>
      </c>
      <c r="K3" s="16" t="s">
        <v>129</v>
      </c>
      <c r="L3" s="16" t="s">
        <v>11</v>
      </c>
      <c r="M3" s="16" t="s">
        <v>130</v>
      </c>
      <c r="N3" s="16" t="s">
        <v>12</v>
      </c>
      <c r="O3" s="16" t="s">
        <v>20</v>
      </c>
      <c r="P3" s="1" t="s">
        <v>18</v>
      </c>
      <c r="Q3" s="16" t="s">
        <v>19</v>
      </c>
      <c r="R3" s="16" t="s">
        <v>22</v>
      </c>
    </row>
    <row r="4" spans="1:18" ht="15.75" x14ac:dyDescent="0.3">
      <c r="A4">
        <v>0</v>
      </c>
      <c r="B4" t="s">
        <v>14</v>
      </c>
      <c r="C4" t="s">
        <v>25</v>
      </c>
      <c r="D4" t="str">
        <f t="shared" ref="D4" si="0">_xlfn.CONCAT(B4,":",C4)</f>
        <v>Source:FI</v>
      </c>
      <c r="E4" t="s">
        <v>14</v>
      </c>
      <c r="F4">
        <v>0</v>
      </c>
      <c r="H4" t="s">
        <v>34</v>
      </c>
      <c r="M4" s="4"/>
      <c r="R4" t="s">
        <v>14</v>
      </c>
    </row>
    <row r="5" spans="1:18" ht="15.75" x14ac:dyDescent="0.3">
      <c r="A5">
        <v>1</v>
      </c>
      <c r="B5" t="s">
        <v>201</v>
      </c>
      <c r="C5" t="s">
        <v>25</v>
      </c>
      <c r="D5" t="str">
        <f t="shared" ref="D5:D6" si="1">_xlfn.CONCAT(B5,":",C5)</f>
        <v>Middle:FI</v>
      </c>
      <c r="E5" t="s">
        <v>14</v>
      </c>
      <c r="F5">
        <v>0</v>
      </c>
      <c r="H5" t="s">
        <v>34</v>
      </c>
      <c r="M5" s="4"/>
      <c r="R5" t="s">
        <v>201</v>
      </c>
    </row>
    <row r="6" spans="1:18" ht="15.75" x14ac:dyDescent="0.3">
      <c r="A6">
        <v>2</v>
      </c>
      <c r="B6" t="s">
        <v>202</v>
      </c>
      <c r="C6" t="s">
        <v>25</v>
      </c>
      <c r="D6" t="str">
        <f t="shared" si="1"/>
        <v>Sink:FI</v>
      </c>
      <c r="E6" t="s">
        <v>14</v>
      </c>
      <c r="F6">
        <v>0</v>
      </c>
      <c r="H6" t="s">
        <v>34</v>
      </c>
      <c r="M6" s="4"/>
      <c r="R6" t="s">
        <v>202</v>
      </c>
    </row>
    <row r="10" spans="1:18" ht="15.6" customHeight="1" x14ac:dyDescent="0.25"/>
  </sheetData>
  <phoneticPr fontId="5" type="noConversion"/>
  <dataValidations xWindow="1088" yWindow="385" count="2">
    <dataValidation allowBlank="1" showInputMessage="1" showErrorMessage="1" promptTitle="Sankey diagram positioning" prompt="Sankey diagram X and Y node positioning. Check / adjust positioning after you run case and see coordinates. " sqref="Q2 P4:Q1048576" xr:uid="{167D7519-74A2-4731-8D99-C2A980321CC9}"/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I4:I1048576" xr:uid="{564AD8C3-F96D-40DD-BFD1-1C6E073701B7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P82"/>
  <sheetViews>
    <sheetView topLeftCell="A3" zoomScaleNormal="100" workbookViewId="0">
      <selection activeCell="A5" sqref="A5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3.5703125" bestFit="1" customWidth="1"/>
    <col min="14" max="14" width="21.7109375" style="5" bestFit="1" customWidth="1"/>
    <col min="15" max="15" width="15.7109375" customWidth="1"/>
    <col min="16" max="16" width="42" customWidth="1"/>
  </cols>
  <sheetData>
    <row r="1" spans="1:16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5</v>
      </c>
      <c r="N1" s="2" t="s">
        <v>5</v>
      </c>
      <c r="O1" s="2" t="s">
        <v>7</v>
      </c>
      <c r="P1" s="2" t="s">
        <v>5</v>
      </c>
    </row>
    <row r="2" spans="1:16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23</v>
      </c>
      <c r="L2" s="2"/>
      <c r="M2" s="2"/>
      <c r="N2" s="2"/>
      <c r="O2" s="2" t="s">
        <v>149</v>
      </c>
      <c r="P2" s="2"/>
    </row>
    <row r="3" spans="1:16" ht="59.25" customHeight="1" x14ac:dyDescent="0.25">
      <c r="A3" s="15" t="s">
        <v>153</v>
      </c>
      <c r="B3" s="9" t="s">
        <v>135</v>
      </c>
      <c r="C3" s="9" t="s">
        <v>125</v>
      </c>
      <c r="D3" s="9" t="s">
        <v>136</v>
      </c>
      <c r="E3" s="9" t="s">
        <v>137</v>
      </c>
      <c r="F3" s="9" t="s">
        <v>125</v>
      </c>
      <c r="G3" s="9" t="s">
        <v>138</v>
      </c>
      <c r="H3" s="9" t="s">
        <v>139</v>
      </c>
      <c r="I3" s="9" t="s">
        <v>140</v>
      </c>
      <c r="J3" s="9" t="s">
        <v>38</v>
      </c>
      <c r="K3" s="9" t="s">
        <v>8</v>
      </c>
      <c r="L3" s="9" t="s">
        <v>24</v>
      </c>
      <c r="M3" s="9" t="s">
        <v>141</v>
      </c>
      <c r="N3" s="10" t="s">
        <v>142</v>
      </c>
      <c r="O3" s="11" t="s">
        <v>148</v>
      </c>
      <c r="P3" s="12" t="s">
        <v>13</v>
      </c>
    </row>
    <row r="4" spans="1:16" x14ac:dyDescent="0.25">
      <c r="A4" t="s">
        <v>32</v>
      </c>
      <c r="B4" t="s">
        <v>14</v>
      </c>
      <c r="C4" t="str">
        <f>+_xlfn.XLOOKUP(H4,Processes!$D$4:$D$39,Processes!$E$4:$E$39)</f>
        <v>Source</v>
      </c>
      <c r="D4" t="s">
        <v>25</v>
      </c>
      <c r="E4" t="s">
        <v>201</v>
      </c>
      <c r="F4" t="str">
        <f>+_xlfn.XLOOKUP(I4,Processes!$D$4:$D$39,Processes!$E$4:$E$39)</f>
        <v>Source</v>
      </c>
      <c r="G4" t="s">
        <v>25</v>
      </c>
      <c r="H4" s="3" t="str">
        <f t="shared" ref="H4:H5" si="0">_xlfn.CONCAT(B4,":",D4)</f>
        <v>Source:FI</v>
      </c>
      <c r="I4" s="3" t="str">
        <f t="shared" ref="I4:I5" si="1">_xlfn.CONCAT(E4,":",G4)</f>
        <v>Middle:FI</v>
      </c>
      <c r="J4">
        <v>100</v>
      </c>
      <c r="K4" t="s">
        <v>31</v>
      </c>
      <c r="L4">
        <v>2000</v>
      </c>
      <c r="N4" t="s">
        <v>203</v>
      </c>
      <c r="P4" s="13"/>
    </row>
    <row r="5" spans="1:16" x14ac:dyDescent="0.25">
      <c r="A5" t="s">
        <v>33</v>
      </c>
      <c r="B5" t="s">
        <v>201</v>
      </c>
      <c r="C5" t="str">
        <f>+_xlfn.XLOOKUP(H5,Processes!$D$4:$D$39,Processes!$E$4:$E$39)</f>
        <v>Source</v>
      </c>
      <c r="D5" t="s">
        <v>25</v>
      </c>
      <c r="E5" t="s">
        <v>202</v>
      </c>
      <c r="F5" t="str">
        <f>+_xlfn.XLOOKUP(I5,Processes!$D$4:$D$39,Processes!$E$4:$E$39)</f>
        <v>Source</v>
      </c>
      <c r="G5" t="s">
        <v>25</v>
      </c>
      <c r="H5" s="3" t="str">
        <f t="shared" si="0"/>
        <v>Middle:FI</v>
      </c>
      <c r="I5" s="3" t="str">
        <f t="shared" si="1"/>
        <v>Sink:FI</v>
      </c>
      <c r="J5">
        <v>100</v>
      </c>
      <c r="K5" t="s">
        <v>31</v>
      </c>
      <c r="L5">
        <v>2000</v>
      </c>
      <c r="N5" t="s">
        <v>203</v>
      </c>
      <c r="P5" s="13"/>
    </row>
    <row r="6" spans="1:16" x14ac:dyDescent="0.25">
      <c r="H6" s="3"/>
      <c r="I6" s="3"/>
      <c r="N6"/>
    </row>
    <row r="7" spans="1:16" x14ac:dyDescent="0.25">
      <c r="H7" s="3"/>
      <c r="I7" s="3"/>
      <c r="N7"/>
    </row>
    <row r="8" spans="1:16" x14ac:dyDescent="0.25">
      <c r="H8" s="3"/>
      <c r="I8" s="3"/>
      <c r="N8"/>
    </row>
    <row r="9" spans="1:16" x14ac:dyDescent="0.25">
      <c r="H9" s="3"/>
      <c r="I9" s="3"/>
      <c r="N9"/>
    </row>
    <row r="10" spans="1:16" x14ac:dyDescent="0.25">
      <c r="H10" s="3"/>
      <c r="I10" s="3"/>
      <c r="N10"/>
    </row>
    <row r="11" spans="1:16" x14ac:dyDescent="0.25">
      <c r="H11" s="3"/>
      <c r="I11" s="3"/>
      <c r="N11"/>
    </row>
    <row r="12" spans="1:16" x14ac:dyDescent="0.25">
      <c r="H12" s="3"/>
      <c r="I12" s="3"/>
      <c r="N12"/>
    </row>
    <row r="13" spans="1:16" x14ac:dyDescent="0.25">
      <c r="H13" s="3"/>
      <c r="I13" s="3"/>
      <c r="N13"/>
    </row>
    <row r="14" spans="1:16" x14ac:dyDescent="0.25">
      <c r="H14" s="3"/>
      <c r="I14" s="3"/>
      <c r="N14"/>
    </row>
    <row r="15" spans="1:16" x14ac:dyDescent="0.25">
      <c r="H15" s="3"/>
      <c r="I15" s="3"/>
    </row>
    <row r="16" spans="1:16" x14ac:dyDescent="0.25">
      <c r="H16" s="3"/>
      <c r="I16" s="3"/>
    </row>
    <row r="17" spans="5:14" x14ac:dyDescent="0.25">
      <c r="H17" s="3"/>
      <c r="I17" s="3"/>
    </row>
    <row r="18" spans="5:14" x14ac:dyDescent="0.25">
      <c r="H18" s="3"/>
      <c r="I18" s="3"/>
    </row>
    <row r="19" spans="5:14" x14ac:dyDescent="0.25">
      <c r="H19" s="3"/>
      <c r="I19" s="3"/>
      <c r="N19" s="6"/>
    </row>
    <row r="20" spans="5:14" x14ac:dyDescent="0.25">
      <c r="H20" s="3"/>
      <c r="I20" s="3"/>
      <c r="N20" s="6"/>
    </row>
    <row r="21" spans="5:14" x14ac:dyDescent="0.25">
      <c r="H21" s="3"/>
      <c r="I21" s="3"/>
    </row>
    <row r="22" spans="5:14" x14ac:dyDescent="0.25">
      <c r="H22" s="3"/>
      <c r="I22" s="3"/>
    </row>
    <row r="23" spans="5:14" x14ac:dyDescent="0.25">
      <c r="H23" s="3"/>
      <c r="I23" s="3"/>
    </row>
    <row r="24" spans="5:14" x14ac:dyDescent="0.25">
      <c r="H24" s="3"/>
      <c r="I24" s="3"/>
    </row>
    <row r="25" spans="5:14" x14ac:dyDescent="0.25">
      <c r="H25" s="3"/>
      <c r="I25" s="3"/>
    </row>
    <row r="26" spans="5:14" x14ac:dyDescent="0.25">
      <c r="E26" s="13"/>
      <c r="H26" s="3"/>
      <c r="I26" s="3"/>
    </row>
    <row r="27" spans="5:14" x14ac:dyDescent="0.25">
      <c r="H27" s="3"/>
      <c r="I27" s="3"/>
    </row>
    <row r="28" spans="5:14" x14ac:dyDescent="0.25">
      <c r="H28" s="3"/>
      <c r="I28" s="3"/>
    </row>
    <row r="29" spans="5:14" x14ac:dyDescent="0.25">
      <c r="H29" s="3"/>
      <c r="I29" s="3"/>
    </row>
    <row r="30" spans="5:14" x14ac:dyDescent="0.25">
      <c r="H30" s="3"/>
      <c r="I30" s="3"/>
      <c r="N30"/>
    </row>
    <row r="31" spans="5:14" x14ac:dyDescent="0.25">
      <c r="H31" s="3"/>
      <c r="I31" s="3"/>
      <c r="N31"/>
    </row>
    <row r="32" spans="5:14" x14ac:dyDescent="0.25">
      <c r="H32" s="3"/>
      <c r="I32" s="3"/>
      <c r="N32"/>
    </row>
    <row r="33" spans="3:14" x14ac:dyDescent="0.25">
      <c r="H33" s="3"/>
      <c r="I33" s="3"/>
      <c r="N33"/>
    </row>
    <row r="34" spans="3:14" x14ac:dyDescent="0.25">
      <c r="H34" s="3"/>
      <c r="I34" s="3"/>
      <c r="N34"/>
    </row>
    <row r="35" spans="3:14" x14ac:dyDescent="0.25">
      <c r="H35" s="3"/>
      <c r="I35" s="3"/>
      <c r="N35"/>
    </row>
    <row r="36" spans="3:14" x14ac:dyDescent="0.25">
      <c r="C36" s="8"/>
      <c r="H36" s="3"/>
      <c r="I36" s="3"/>
      <c r="N36"/>
    </row>
    <row r="37" spans="3:14" x14ac:dyDescent="0.25">
      <c r="H37" s="3"/>
      <c r="I37" s="3"/>
      <c r="N37"/>
    </row>
    <row r="38" spans="3:14" x14ac:dyDescent="0.25">
      <c r="H38" s="3"/>
      <c r="I38" s="3"/>
      <c r="N38"/>
    </row>
    <row r="39" spans="3:14" x14ac:dyDescent="0.25">
      <c r="H39" s="3"/>
      <c r="I39" s="3"/>
      <c r="N39"/>
    </row>
    <row r="40" spans="3:14" x14ac:dyDescent="0.25">
      <c r="H40" s="3"/>
      <c r="I40" s="3"/>
      <c r="N40"/>
    </row>
    <row r="41" spans="3:14" x14ac:dyDescent="0.25">
      <c r="H41" s="3"/>
      <c r="I41" s="3"/>
      <c r="N41"/>
    </row>
    <row r="42" spans="3:14" x14ac:dyDescent="0.25">
      <c r="H42" s="3"/>
      <c r="I42" s="3"/>
      <c r="N42"/>
    </row>
    <row r="43" spans="3:14" x14ac:dyDescent="0.25">
      <c r="H43" s="3"/>
      <c r="I43" s="3"/>
      <c r="N43"/>
    </row>
    <row r="44" spans="3:14" x14ac:dyDescent="0.25">
      <c r="H44" s="3"/>
      <c r="I44" s="3"/>
      <c r="N44"/>
    </row>
    <row r="45" spans="3:14" x14ac:dyDescent="0.25">
      <c r="H45" s="3"/>
      <c r="I45" s="3"/>
      <c r="N45"/>
    </row>
    <row r="46" spans="3:14" x14ac:dyDescent="0.25">
      <c r="H46" s="3"/>
      <c r="I46" s="3"/>
      <c r="N46"/>
    </row>
    <row r="47" spans="3:14" x14ac:dyDescent="0.25">
      <c r="H47" s="3"/>
      <c r="I47" s="3"/>
      <c r="N47"/>
    </row>
    <row r="48" spans="3:14" x14ac:dyDescent="0.25">
      <c r="H48" s="3"/>
      <c r="I48" s="3"/>
      <c r="N48"/>
    </row>
    <row r="49" spans="8:14" x14ac:dyDescent="0.25">
      <c r="H49" s="3"/>
      <c r="I49" s="3"/>
      <c r="N49"/>
    </row>
    <row r="50" spans="8:14" x14ac:dyDescent="0.25">
      <c r="H50" s="3"/>
      <c r="I50" s="3"/>
      <c r="N50"/>
    </row>
    <row r="51" spans="8:14" x14ac:dyDescent="0.25">
      <c r="H51" s="3"/>
      <c r="I51" s="3"/>
      <c r="N51"/>
    </row>
    <row r="52" spans="8:14" x14ac:dyDescent="0.25">
      <c r="H52" s="3"/>
      <c r="I52" s="3"/>
      <c r="N52"/>
    </row>
    <row r="53" spans="8:14" x14ac:dyDescent="0.25">
      <c r="H53" s="3"/>
      <c r="I53" s="3"/>
      <c r="N53"/>
    </row>
    <row r="54" spans="8:14" x14ac:dyDescent="0.25">
      <c r="H54" s="3"/>
      <c r="I54" s="3"/>
      <c r="N54"/>
    </row>
    <row r="55" spans="8:14" x14ac:dyDescent="0.25">
      <c r="H55" s="3"/>
      <c r="I55" s="3"/>
      <c r="N55"/>
    </row>
    <row r="56" spans="8:14" x14ac:dyDescent="0.25">
      <c r="H56" s="3"/>
      <c r="I56" s="3"/>
      <c r="N56"/>
    </row>
    <row r="57" spans="8:14" x14ac:dyDescent="0.25">
      <c r="H57" s="3"/>
      <c r="I57" s="3"/>
      <c r="N57"/>
    </row>
    <row r="58" spans="8:14" x14ac:dyDescent="0.25">
      <c r="H58" s="3"/>
      <c r="I58" s="3"/>
      <c r="N58"/>
    </row>
    <row r="59" spans="8:14" x14ac:dyDescent="0.25">
      <c r="H59" s="3"/>
      <c r="I59" s="3"/>
      <c r="N59"/>
    </row>
    <row r="60" spans="8:14" x14ac:dyDescent="0.25">
      <c r="H60" s="3"/>
      <c r="I60" s="3"/>
      <c r="N60"/>
    </row>
    <row r="61" spans="8:14" x14ac:dyDescent="0.25">
      <c r="H61" s="3"/>
      <c r="I61" s="3"/>
      <c r="N61"/>
    </row>
    <row r="62" spans="8:14" x14ac:dyDescent="0.25">
      <c r="H62" s="3"/>
      <c r="I62" s="3"/>
      <c r="N62"/>
    </row>
    <row r="63" spans="8:14" x14ac:dyDescent="0.25">
      <c r="H63" s="3"/>
      <c r="I63" s="3"/>
      <c r="N63"/>
    </row>
    <row r="64" spans="8:14" x14ac:dyDescent="0.25">
      <c r="H64" s="3"/>
      <c r="I64" s="3"/>
      <c r="N64"/>
    </row>
    <row r="65" spans="2:14" x14ac:dyDescent="0.25">
      <c r="H65" s="3"/>
      <c r="I65" s="3"/>
      <c r="N65"/>
    </row>
    <row r="66" spans="2:14" x14ac:dyDescent="0.25">
      <c r="H66" s="3"/>
      <c r="I66" s="3"/>
      <c r="N66"/>
    </row>
    <row r="67" spans="2:14" x14ac:dyDescent="0.25">
      <c r="H67" s="3"/>
      <c r="I67" s="3"/>
      <c r="N67"/>
    </row>
    <row r="68" spans="2:14" x14ac:dyDescent="0.25">
      <c r="H68" s="3"/>
      <c r="I68" s="3"/>
      <c r="N68"/>
    </row>
    <row r="69" spans="2:14" x14ac:dyDescent="0.25">
      <c r="H69" s="3"/>
      <c r="I69" s="3"/>
      <c r="N69"/>
    </row>
    <row r="70" spans="2:14" x14ac:dyDescent="0.25">
      <c r="H70" s="3"/>
      <c r="I70" s="3"/>
      <c r="N70"/>
    </row>
    <row r="71" spans="2:14" x14ac:dyDescent="0.25">
      <c r="H71" s="3"/>
      <c r="I71" s="3"/>
      <c r="N71"/>
    </row>
    <row r="72" spans="2:14" x14ac:dyDescent="0.25">
      <c r="H72" s="3"/>
      <c r="I72" s="3"/>
      <c r="N72"/>
    </row>
    <row r="73" spans="2:14" x14ac:dyDescent="0.25">
      <c r="H73" s="3"/>
      <c r="I73" s="3"/>
      <c r="N73"/>
    </row>
    <row r="74" spans="2:14" x14ac:dyDescent="0.25">
      <c r="H74" s="3"/>
      <c r="I74" s="3"/>
      <c r="N74"/>
    </row>
    <row r="75" spans="2:14" x14ac:dyDescent="0.25">
      <c r="H75" s="3"/>
      <c r="I75" s="3"/>
      <c r="N75"/>
    </row>
    <row r="76" spans="2:14" x14ac:dyDescent="0.25">
      <c r="H76" s="3"/>
      <c r="I76" s="3"/>
      <c r="N76"/>
    </row>
    <row r="77" spans="2:14" x14ac:dyDescent="0.25">
      <c r="N77"/>
    </row>
    <row r="78" spans="2:14" x14ac:dyDescent="0.25">
      <c r="B78" s="3"/>
      <c r="D78" s="3"/>
      <c r="E78" s="3"/>
      <c r="G78" s="3"/>
      <c r="H78" s="3"/>
      <c r="I78" s="3"/>
      <c r="M78" s="3"/>
      <c r="N78"/>
    </row>
    <row r="79" spans="2:14" x14ac:dyDescent="0.25">
      <c r="H79" s="3"/>
      <c r="I79" s="3"/>
      <c r="N79"/>
    </row>
    <row r="80" spans="2:14" x14ac:dyDescent="0.25">
      <c r="H80" s="3"/>
      <c r="I80" s="3"/>
      <c r="N80"/>
    </row>
    <row r="81" spans="8:14" x14ac:dyDescent="0.25">
      <c r="H81" s="3"/>
      <c r="I81" s="3"/>
      <c r="N81"/>
    </row>
    <row r="82" spans="8:14" x14ac:dyDescent="0.25">
      <c r="H82" s="3"/>
      <c r="I82" s="3"/>
      <c r="N82"/>
    </row>
  </sheetData>
  <autoFilter ref="A3:P5" xr:uid="{B692AEE8-68EE-4B81-A49D-50BF066DFFE7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H2" sqref="H2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176</v>
      </c>
      <c r="G1" s="2" t="s">
        <v>176</v>
      </c>
      <c r="H1" s="2" t="s">
        <v>176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5" t="s">
        <v>177</v>
      </c>
      <c r="B3" s="9" t="s">
        <v>30</v>
      </c>
      <c r="C3" s="9" t="s">
        <v>40</v>
      </c>
      <c r="D3" s="9" t="s">
        <v>91</v>
      </c>
      <c r="E3" s="9" t="s">
        <v>92</v>
      </c>
      <c r="F3" s="9" t="s">
        <v>178</v>
      </c>
      <c r="G3" s="9" t="s">
        <v>179</v>
      </c>
      <c r="H3" s="9" t="s">
        <v>180</v>
      </c>
      <c r="I3" s="10" t="s">
        <v>181</v>
      </c>
      <c r="J3" s="9" t="s">
        <v>13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1"/>
  <sheetViews>
    <sheetView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24</v>
      </c>
      <c r="B1" t="s">
        <v>30</v>
      </c>
      <c r="C1" t="s">
        <v>18</v>
      </c>
      <c r="D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3"/>
  <sheetViews>
    <sheetView topLeftCell="D1" workbookViewId="0">
      <selection activeCell="K3" sqref="K3"/>
    </sheetView>
  </sheetViews>
  <sheetFormatPr defaultRowHeight="15" x14ac:dyDescent="0.25"/>
  <cols>
    <col min="1" max="1" width="26.7109375" customWidth="1"/>
    <col min="2" max="2" width="52.85546875" customWidth="1"/>
    <col min="3" max="3" width="16.5703125" bestFit="1" customWidth="1"/>
    <col min="4" max="4" width="16.140625" bestFit="1" customWidth="1"/>
    <col min="5" max="5" width="21.85546875" bestFit="1" customWidth="1"/>
    <col min="6" max="6" width="23.8554687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9.7109375" bestFit="1" customWidth="1"/>
    <col min="12" max="13" width="52.42578125" bestFit="1" customWidth="1"/>
  </cols>
  <sheetData>
    <row r="1" spans="1:13" x14ac:dyDescent="0.25">
      <c r="A1" t="s">
        <v>208</v>
      </c>
      <c r="B1" s="25" t="s">
        <v>86</v>
      </c>
      <c r="C1" s="25" t="s">
        <v>87</v>
      </c>
      <c r="D1" s="25" t="s">
        <v>88</v>
      </c>
      <c r="E1" s="25" t="s">
        <v>89</v>
      </c>
      <c r="F1" s="25" t="s">
        <v>156</v>
      </c>
      <c r="G1" s="25" t="s">
        <v>90</v>
      </c>
      <c r="H1" s="25" t="s">
        <v>91</v>
      </c>
      <c r="I1" s="25" t="s">
        <v>92</v>
      </c>
      <c r="J1" s="25" t="s">
        <v>93</v>
      </c>
      <c r="K1" s="25" t="s">
        <v>170</v>
      </c>
      <c r="L1" s="25" t="s">
        <v>94</v>
      </c>
      <c r="M1" s="25" t="s">
        <v>94</v>
      </c>
    </row>
    <row r="2" spans="1:13" x14ac:dyDescent="0.25">
      <c r="B2" t="s">
        <v>206</v>
      </c>
      <c r="C2" s="3" t="s">
        <v>205</v>
      </c>
      <c r="D2" s="3" t="s">
        <v>204</v>
      </c>
      <c r="E2">
        <v>0</v>
      </c>
      <c r="G2" t="s">
        <v>9</v>
      </c>
      <c r="H2">
        <v>2005</v>
      </c>
      <c r="I2">
        <v>2010</v>
      </c>
      <c r="J2" t="s">
        <v>100</v>
      </c>
      <c r="K2" s="24" t="b">
        <v>1</v>
      </c>
    </row>
    <row r="3" spans="1:13" x14ac:dyDescent="0.25">
      <c r="B3" t="s">
        <v>207</v>
      </c>
      <c r="C3" s="3" t="s">
        <v>205</v>
      </c>
      <c r="D3" s="3" t="s">
        <v>204</v>
      </c>
      <c r="E3">
        <v>0</v>
      </c>
      <c r="G3" t="s">
        <v>9</v>
      </c>
      <c r="H3">
        <v>2005</v>
      </c>
      <c r="I3">
        <v>2010</v>
      </c>
      <c r="J3" t="s">
        <v>100</v>
      </c>
      <c r="K3" s="24" t="b">
        <v>1</v>
      </c>
    </row>
  </sheetData>
  <conditionalFormatting sqref="K2:K3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2:K3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J2:J1048576 K4:K1048576</xm:sqref>
        </x14:dataValidation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106</v>
      </c>
      <c r="B1" s="1" t="s">
        <v>107</v>
      </c>
    </row>
    <row r="2" spans="1:3" x14ac:dyDescent="0.25">
      <c r="A2" t="s">
        <v>14</v>
      </c>
      <c r="B2" t="s">
        <v>116</v>
      </c>
    </row>
    <row r="3" spans="1:3" x14ac:dyDescent="0.25">
      <c r="A3" t="s">
        <v>15</v>
      </c>
      <c r="B3" t="s">
        <v>109</v>
      </c>
    </row>
    <row r="4" spans="1:3" x14ac:dyDescent="0.25">
      <c r="A4" t="s">
        <v>16</v>
      </c>
      <c r="B4" t="s">
        <v>110</v>
      </c>
    </row>
    <row r="5" spans="1:3" x14ac:dyDescent="0.25">
      <c r="A5" t="s">
        <v>28</v>
      </c>
      <c r="B5" t="s">
        <v>111</v>
      </c>
    </row>
    <row r="6" spans="1:3" x14ac:dyDescent="0.25">
      <c r="A6" t="s">
        <v>17</v>
      </c>
      <c r="B6" t="s">
        <v>112</v>
      </c>
    </row>
    <row r="7" spans="1:3" x14ac:dyDescent="0.25">
      <c r="A7" t="s">
        <v>26</v>
      </c>
      <c r="B7" t="s">
        <v>117</v>
      </c>
    </row>
    <row r="8" spans="1:3" x14ac:dyDescent="0.25">
      <c r="A8" t="s">
        <v>27</v>
      </c>
      <c r="B8" t="s">
        <v>118</v>
      </c>
    </row>
    <row r="9" spans="1:3" x14ac:dyDescent="0.25">
      <c r="A9" t="s">
        <v>108</v>
      </c>
      <c r="B9" t="s">
        <v>115</v>
      </c>
      <c r="C9" t="s">
        <v>119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F14" sqref="F14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96</v>
      </c>
    </row>
    <row r="3" spans="2:8" x14ac:dyDescent="0.25">
      <c r="B3" t="s">
        <v>97</v>
      </c>
    </row>
    <row r="5" spans="2:8" x14ac:dyDescent="0.25">
      <c r="B5" s="18" t="s">
        <v>65</v>
      </c>
      <c r="C5" s="18" t="s">
        <v>53</v>
      </c>
      <c r="D5" s="18" t="s">
        <v>74</v>
      </c>
      <c r="E5" s="18" t="s">
        <v>98</v>
      </c>
      <c r="F5" s="18" t="s">
        <v>93</v>
      </c>
      <c r="G5" s="18" t="s">
        <v>163</v>
      </c>
      <c r="H5" s="18" t="s">
        <v>182</v>
      </c>
    </row>
    <row r="6" spans="2:8" x14ac:dyDescent="0.25">
      <c r="B6" t="s">
        <v>34</v>
      </c>
      <c r="C6" t="b">
        <v>1</v>
      </c>
      <c r="D6" t="s">
        <v>75</v>
      </c>
      <c r="E6" t="s">
        <v>38</v>
      </c>
      <c r="F6" t="s">
        <v>99</v>
      </c>
      <c r="G6" t="s">
        <v>164</v>
      </c>
      <c r="H6" t="s">
        <v>183</v>
      </c>
    </row>
    <row r="7" spans="2:8" x14ac:dyDescent="0.25">
      <c r="B7" t="s">
        <v>29</v>
      </c>
      <c r="C7" t="b">
        <v>0</v>
      </c>
      <c r="D7" t="s">
        <v>76</v>
      </c>
      <c r="E7" t="s">
        <v>9</v>
      </c>
      <c r="F7" t="s">
        <v>100</v>
      </c>
      <c r="G7" t="s">
        <v>165</v>
      </c>
      <c r="H7" t="s">
        <v>184</v>
      </c>
    </row>
    <row r="8" spans="2:8" x14ac:dyDescent="0.25">
      <c r="B8" t="s">
        <v>35</v>
      </c>
      <c r="D8" t="s">
        <v>77</v>
      </c>
      <c r="F8" t="s">
        <v>101</v>
      </c>
      <c r="H8" t="s">
        <v>185</v>
      </c>
    </row>
    <row r="9" spans="2:8" x14ac:dyDescent="0.25">
      <c r="B9" t="s">
        <v>37</v>
      </c>
      <c r="D9" t="s">
        <v>78</v>
      </c>
      <c r="F9" t="s">
        <v>102</v>
      </c>
    </row>
    <row r="10" spans="2:8" x14ac:dyDescent="0.25">
      <c r="B10" t="s">
        <v>36</v>
      </c>
    </row>
    <row r="11" spans="2:8" x14ac:dyDescent="0.25">
      <c r="B11" t="s">
        <v>79</v>
      </c>
    </row>
    <row r="12" spans="2:8" x14ac:dyDescent="0.25">
      <c r="B12" t="s">
        <v>160</v>
      </c>
    </row>
    <row r="13" spans="2:8" x14ac:dyDescent="0.25">
      <c r="B13" t="s">
        <v>161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Props1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