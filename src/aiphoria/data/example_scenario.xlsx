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src\aiphoria\data\"/>
    </mc:Choice>
  </mc:AlternateContent>
  <xr:revisionPtr revIDLastSave="0" documentId="13_ncr:1_{0CAE2671-3DEF-4367-8CB4-0AEF702A6E53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QUICK GUIDE" sheetId="16" r:id="rId1"/>
    <sheet name="Settings" sheetId="11" r:id="rId2"/>
    <sheet name="Processes" sheetId="6" r:id="rId3"/>
    <sheet name="Flows" sheetId="1" r:id="rId4"/>
    <sheet name="Stock lifetime overrides" sheetId="15" r:id="rId5"/>
    <sheet name="Process positions" sheetId="14" r:id="rId6"/>
    <sheet name="Scenarios" sheetId="12" r:id="rId7"/>
    <sheet name="Colors" sheetId="13" r:id="rId8"/>
    <sheet name="Data validation parameters" sheetId="9" r:id="rId9"/>
  </sheets>
  <definedNames>
    <definedName name="_xlnm._FilterDatabase" localSheetId="3" hidden="1">Flows!$A$3:$H$13</definedName>
    <definedName name="_xlnm._FilterDatabase" localSheetId="2" hidden="1">Processes!$D$3:$L$3</definedName>
    <definedName name="_xlnm._FilterDatabase" localSheetId="1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2" i="6" l="1"/>
  <c r="D9" i="6"/>
  <c r="D7" i="6" l="1"/>
  <c r="D11" i="6" l="1"/>
  <c r="D10" i="6"/>
  <c r="D8" i="6"/>
  <c r="D6" i="6"/>
  <c r="D5" i="6"/>
</calcChain>
</file>

<file path=xl/sharedStrings.xml><?xml version="1.0" encoding="utf-8"?>
<sst xmlns="http://schemas.openxmlformats.org/spreadsheetml/2006/main" count="484" uniqueCount="240">
  <si>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</si>
  <si>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</si>
  <si>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</si>
  <si>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</si>
  <si>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</si>
  <si>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</si>
  <si>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</si>
  <si>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</si>
  <si>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</si>
  <si>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</si>
  <si>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</si>
  <si>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</si>
  <si>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</si>
  <si>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</si>
  <si>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</si>
  <si>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</si>
  <si>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</si>
  <si>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</si>
  <si>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</si>
  <si>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</si>
  <si>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</si>
  <si>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</si>
  <si>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</si>
  <si>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</si>
  <si>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</si>
  <si>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</si>
  <si>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</si>
  <si>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</si>
  <si>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</si>
  <si>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</si>
  <si>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</si>
  <si>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</si>
  <si>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</si>
  <si>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</si>
  <si>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</si>
  <si>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</si>
  <si>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</si>
  <si>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</si>
  <si>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</si>
  <si>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</si>
  <si>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</si>
  <si>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</si>
  <si>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</si>
  <si>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</si>
  <si>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</si>
  <si>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</si>
  <si>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</si>
  <si>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</si>
  <si>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</si>
  <si>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</si>
  <si>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</si>
  <si>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</si>
  <si>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</si>
  <si>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</si>
  <si>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</si>
  <si>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</si>
  <si>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</si>
  <si>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</si>
  <si>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</si>
  <si>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</si>
  <si>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</si>
  <si>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</si>
  <si>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</si>
  <si>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</si>
  <si>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</si>
  <si>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</si>
  <si>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</si>
  <si>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</si>
  <si>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</si>
  <si>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</si>
  <si>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</si>
  <si>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</si>
  <si>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</si>
  <si>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</si>
  <si>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</si>
  <si>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</si>
  <si>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</si>
  <si>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</si>
  <si>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</si>
  <si>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</si>
  <si>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</si>
  <si>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</si>
  <si>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</si>
  <si>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</si>
  <si>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</si>
  <si>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</si>
  <si>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</si>
  <si>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</si>
  <si>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</si>
  <si>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</si>
  <si>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</si>
  <si>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</si>
  <si>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</si>
  <si>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</si>
  <si>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</si>
  <si>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</si>
  <si>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</si>
  <si>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</si>
  <si>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</si>
  <si>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</si>
  <si>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</si>
  <si>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</si>
  <si>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</si>
  <si>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</si>
  <si>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</si>
  <si>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</si>
  <si>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</si>
  <si>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</si>
  <si>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</si>
  <si>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</si>
  <si>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</si>
  <si>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</si>
  <si>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</si>
  <si>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</si>
  <si>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</si>
  <si>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</si>
  <si>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</si>
  <si>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</si>
  <si>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</si>
  <si>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</si>
  <si>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</si>
  <si>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</si>
  <si>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</si>
  <si>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</si>
  <si>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</si>
  <si>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</si>
  <si>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</si>
  <si>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</si>
  <si>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</si>
  <si>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</si>
  <si>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</si>
  <si>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</si>
  <si>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</si>
  <si>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</si>
  <si>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</si>
  <si>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</si>
  <si>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</si>
  <si>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</si>
  <si>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</si>
  <si>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</si>
  <si>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</si>
  <si>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</si>
  <si>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</si>
  <si>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</si>
  <si>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</si>
  <si>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</si>
  <si>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</si>
  <si>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</si>
  <si>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</si>
  <si>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</si>
  <si>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</si>
  <si>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</si>
  <si>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</si>
  <si>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</si>
  <si>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</si>
  <si>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</si>
  <si>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</si>
  <si>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</si>
  <si>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</si>
  <si>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</si>
  <si>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</si>
  <si>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</si>
  <si>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</si>
  <si>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</si>
  <si>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</si>
  <si>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</si>
  <si>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</si>
  <si>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</si>
  <si>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</si>
  <si>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</si>
  <si>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</si>
  <si>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</si>
  <si>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</si>
  <si>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</si>
  <si>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</si>
  <si>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</si>
  <si>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</si>
  <si>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</si>
  <si>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</si>
  <si>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</si>
  <si>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</si>
  <si>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</si>
  <si>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</si>
  <si>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</si>
  <si>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</si>
  <si>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</si>
  <si>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</si>
  <si>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</si>
  <si>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</si>
  <si>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</si>
  <si>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</si>
  <si>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</si>
  <si>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</si>
  <si>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</si>
  <si>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</si>
  <si>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</si>
  <si>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</si>
  <si>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</si>
  <si>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</si>
  <si>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</si>
  <si>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</si>
  <si>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</si>
  <si>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</si>
  <si>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</si>
  <si>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</si>
  <si>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</si>
  <si>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</si>
  <si>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</si>
  <si>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</si>
  <si>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</si>
  <si>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</si>
  <si>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</si>
  <si>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</si>
  <si>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</si>
  <si>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</si>
  <si>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</si>
  <si>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</si>
  <si>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</si>
  <si>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</si>
  <si>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</si>
  <si>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</si>
  <si>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</si>
  <si>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</si>
  <si>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</si>
  <si>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 xml:space="preserve"> </t>
  </si>
  <si>
    <t>This column is ignored (check parameter ignore_columns_scenarios in Settings-sheet)</t>
  </si>
  <si>
    <t>skip_num_rows_scenarios</t>
  </si>
  <si>
    <t>Number of rows to skip when reading data for Scenarios (e.g. 2). NOTE: Header row must be the first row to read!</t>
  </si>
  <si>
    <t>version</t>
  </si>
  <si>
    <t>Number</t>
  </si>
  <si>
    <t>Scenario file format version. Required when using aiphoria &gt;= 1.1.0</t>
  </si>
  <si>
    <t>Quick quide</t>
  </si>
  <si>
    <r>
      <t xml:space="preserve">The ignored columns can be controlled with parameters </t>
    </r>
    <r>
      <rPr>
        <b/>
        <sz val="11"/>
        <color theme="1"/>
        <rFont val="Calibri"/>
        <family val="2"/>
        <scheme val="minor"/>
      </rPr>
      <t>ignore_columns_processes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ignore_columns_flows</t>
    </r>
    <r>
      <rPr>
        <sz val="11"/>
        <color theme="1"/>
        <rFont val="Calibri"/>
        <family val="2"/>
        <scheme val="minor"/>
      </rPr>
      <t xml:space="preserve"> in Settings-sheet</t>
    </r>
  </si>
  <si>
    <t>https://github.com/EuropeanForestInstitute/aiphoria/wiki</t>
  </si>
  <si>
    <t>Refer to aiphoria wiki for more in-depth explanation:</t>
  </si>
  <si>
    <r>
      <t xml:space="preserve">Start by looking into the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>-sheet</t>
    </r>
  </si>
  <si>
    <t>Major changes in versions</t>
  </si>
  <si>
    <t>1.1.0</t>
  </si>
  <si>
    <t>Green colored columns are ignored when reading the Process and Flows sheets</t>
  </si>
  <si>
    <r>
      <t xml:space="preserve">Parameter </t>
    </r>
    <r>
      <rPr>
        <b/>
        <sz val="11"/>
        <color theme="1"/>
        <rFont val="Calibri"/>
        <family val="2"/>
        <scheme val="minor"/>
      </rPr>
      <t>version</t>
    </r>
    <r>
      <rPr>
        <sz val="11"/>
        <color theme="1"/>
        <rFont val="Calibri"/>
        <family val="2"/>
        <scheme val="minor"/>
      </rPr>
      <t xml:space="preserve"> is now expected to be in Settings-sheet in scenario files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</si>
</sst>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4" borderId="0" xfId="0" applyFont="1" applyFill="1"/>
    <xf numFmtId="0" fontId="2" fillId="4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6963</xdr:rowOff>
    </xdr:from>
    <xdr:to>
      <xdr:col>7</xdr:col>
      <xdr:colOff>1948324</xdr:colOff>
      <xdr:row>31</xdr:row>
      <xdr:rowOff>110217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3005" y="347406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uropeanForestInstitute/aiphoria/wik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9B50-109E-4569-8896-9B271C0F5058}">
  <dimension ref="A2:C13"/>
  <sheetViews>
    <sheetView tabSelected="1" workbookViewId="0"/>
  </sheetViews>
  <sheetFormatPr defaultRowHeight="15" x14ac:dyDescent="0.25"/>
  <sheetData>
    <row r="2" spans="1:3" ht="26.25" x14ac:dyDescent="0.4">
      <c r="B2" s="23" t="s">
        <v>231</v>
      </c>
    </row>
    <row r="4" spans="1:3" x14ac:dyDescent="0.25">
      <c r="B4" s="12" t="s">
        <v>234</v>
      </c>
    </row>
    <row r="5" spans="1:3" x14ac:dyDescent="0.25">
      <c r="B5" s="9" t="s">
        <v>233</v>
      </c>
    </row>
    <row r="6" spans="1:3" x14ac:dyDescent="0.25">
      <c r="A6" t="s">
        <v>224</v>
      </c>
    </row>
    <row r="7" spans="1:3" x14ac:dyDescent="0.25">
      <c r="B7" t="s">
        <v>235</v>
      </c>
    </row>
    <row r="9" spans="1:3" x14ac:dyDescent="0.25">
      <c r="B9" s="12" t="s">
        <v>236</v>
      </c>
    </row>
    <row r="10" spans="1:3" x14ac:dyDescent="0.25">
      <c r="B10" t="s">
        <v>237</v>
      </c>
      <c r="C10" t="s">
        <v>238</v>
      </c>
    </row>
    <row r="11" spans="1:3" x14ac:dyDescent="0.25">
      <c r="C11" t="s">
        <v>232</v>
      </c>
    </row>
    <row r="13" spans="1:3" x14ac:dyDescent="0.25">
      <c r="C13" t="s">
        <v>239</v>
      </c>
    </row>
  </sheetData>
  <hyperlinks>
    <hyperlink ref="B5" r:id="rId1" xr:uid="{56846949-43F1-4B32-BE35-77EABA53CA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4"/>
  <sheetViews>
    <sheetView workbookViewId="0"/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3" t="s">
        <v>58</v>
      </c>
    </row>
    <row r="3" spans="2:5" x14ac:dyDescent="0.25">
      <c r="B3" s="15" t="s">
        <v>77</v>
      </c>
    </row>
    <row r="4" spans="2:5" x14ac:dyDescent="0.25">
      <c r="B4" t="s">
        <v>76</v>
      </c>
      <c r="C4" s="15"/>
      <c r="D4" s="15"/>
      <c r="E4" s="15"/>
    </row>
    <row r="6" spans="2:5" x14ac:dyDescent="0.25">
      <c r="B6" s="5" t="s">
        <v>59</v>
      </c>
      <c r="C6" s="5" t="s">
        <v>54</v>
      </c>
      <c r="D6" s="5" t="s">
        <v>78</v>
      </c>
      <c r="E6" s="5" t="s">
        <v>3</v>
      </c>
    </row>
    <row r="7" spans="2:5" x14ac:dyDescent="0.25">
      <c r="B7" t="s">
        <v>228</v>
      </c>
      <c r="C7">
        <v>2</v>
      </c>
      <c r="D7" t="s">
        <v>229</v>
      </c>
      <c r="E7" t="s">
        <v>230</v>
      </c>
    </row>
    <row r="8" spans="2:5" x14ac:dyDescent="0.25">
      <c r="B8" t="s">
        <v>60</v>
      </c>
      <c r="C8" s="17" t="s">
        <v>1</v>
      </c>
      <c r="D8" s="17" t="s">
        <v>88</v>
      </c>
      <c r="E8" t="s">
        <v>222</v>
      </c>
    </row>
    <row r="9" spans="2:5" x14ac:dyDescent="0.25">
      <c r="B9" t="s">
        <v>146</v>
      </c>
      <c r="C9" t="s">
        <v>166</v>
      </c>
      <c r="D9" t="s">
        <v>121</v>
      </c>
      <c r="E9" t="s">
        <v>148</v>
      </c>
    </row>
    <row r="10" spans="2:5" x14ac:dyDescent="0.25">
      <c r="B10" t="s">
        <v>61</v>
      </c>
      <c r="C10" s="16">
        <v>2</v>
      </c>
      <c r="D10" s="16" t="s">
        <v>86</v>
      </c>
      <c r="E10" t="s">
        <v>64</v>
      </c>
    </row>
    <row r="11" spans="2:5" x14ac:dyDescent="0.25">
      <c r="B11" t="s">
        <v>62</v>
      </c>
      <c r="C11" s="17" t="s">
        <v>2</v>
      </c>
      <c r="D11" s="17" t="s">
        <v>87</v>
      </c>
      <c r="E11" t="s">
        <v>221</v>
      </c>
    </row>
    <row r="12" spans="2:5" x14ac:dyDescent="0.25">
      <c r="B12" t="s">
        <v>147</v>
      </c>
      <c r="C12" t="s">
        <v>166</v>
      </c>
      <c r="D12" t="s">
        <v>121</v>
      </c>
      <c r="E12" t="s">
        <v>149</v>
      </c>
    </row>
    <row r="13" spans="2:5" x14ac:dyDescent="0.25">
      <c r="B13" t="s">
        <v>63</v>
      </c>
      <c r="C13" s="16">
        <v>2</v>
      </c>
      <c r="D13" s="16" t="s">
        <v>86</v>
      </c>
      <c r="E13" t="s">
        <v>64</v>
      </c>
    </row>
    <row r="14" spans="2:5" x14ac:dyDescent="0.25">
      <c r="B14" t="s">
        <v>65</v>
      </c>
      <c r="C14" s="16">
        <v>2021</v>
      </c>
      <c r="D14" s="16" t="s">
        <v>86</v>
      </c>
      <c r="E14" t="s">
        <v>66</v>
      </c>
    </row>
    <row r="15" spans="2:5" x14ac:dyDescent="0.25">
      <c r="B15" t="s">
        <v>67</v>
      </c>
      <c r="C15" s="16">
        <v>2030</v>
      </c>
      <c r="D15" s="16" t="s">
        <v>86</v>
      </c>
      <c r="E15" t="s">
        <v>75</v>
      </c>
    </row>
    <row r="16" spans="2:5" x14ac:dyDescent="0.25">
      <c r="B16" t="s">
        <v>68</v>
      </c>
      <c r="C16" s="18" t="b">
        <v>0</v>
      </c>
      <c r="D16" t="s">
        <v>85</v>
      </c>
      <c r="E16" t="s">
        <v>70</v>
      </c>
    </row>
    <row r="17" spans="1:5" x14ac:dyDescent="0.25">
      <c r="B17" t="s">
        <v>71</v>
      </c>
      <c r="C17" s="18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0">
        <v>0.1</v>
      </c>
      <c r="D18" s="16" t="s">
        <v>89</v>
      </c>
      <c r="E18" t="s">
        <v>80</v>
      </c>
    </row>
    <row r="19" spans="1:5" x14ac:dyDescent="0.25">
      <c r="A19" t="s">
        <v>183</v>
      </c>
      <c r="B19" t="s">
        <v>157</v>
      </c>
      <c r="C19" t="s">
        <v>165</v>
      </c>
      <c r="D19" t="s">
        <v>87</v>
      </c>
      <c r="E19" t="s">
        <v>160</v>
      </c>
    </row>
    <row r="20" spans="1:5" x14ac:dyDescent="0.25">
      <c r="A20" t="s">
        <v>183</v>
      </c>
      <c r="B20" t="s">
        <v>158</v>
      </c>
      <c r="C20" t="s">
        <v>161</v>
      </c>
      <c r="D20" t="s">
        <v>87</v>
      </c>
      <c r="E20" t="s">
        <v>159</v>
      </c>
    </row>
    <row r="21" spans="1:5" x14ac:dyDescent="0.25">
      <c r="A21" t="s">
        <v>183</v>
      </c>
      <c r="B21" t="s">
        <v>73</v>
      </c>
      <c r="C21" s="14">
        <v>-3.6666666666666701</v>
      </c>
      <c r="D21" s="14" t="s">
        <v>89</v>
      </c>
      <c r="E21" t="s">
        <v>74</v>
      </c>
    </row>
    <row r="22" spans="1:5" x14ac:dyDescent="0.25">
      <c r="A22" t="s">
        <v>183</v>
      </c>
      <c r="B22" t="s">
        <v>83</v>
      </c>
      <c r="C22" s="18" t="b">
        <v>1</v>
      </c>
      <c r="D22" t="s">
        <v>85</v>
      </c>
      <c r="E22" t="s">
        <v>84</v>
      </c>
    </row>
    <row r="23" spans="1:5" x14ac:dyDescent="0.25">
      <c r="A23" t="s">
        <v>183</v>
      </c>
      <c r="B23" t="s">
        <v>82</v>
      </c>
      <c r="C23" s="18" t="b">
        <v>1</v>
      </c>
      <c r="D23" t="s">
        <v>85</v>
      </c>
      <c r="E23" t="s">
        <v>84</v>
      </c>
    </row>
    <row r="24" spans="1:5" x14ac:dyDescent="0.25">
      <c r="A24" t="s">
        <v>183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183</v>
      </c>
      <c r="B25" t="s">
        <v>169</v>
      </c>
      <c r="C25" s="18" t="b">
        <v>1</v>
      </c>
      <c r="D25" t="s">
        <v>85</v>
      </c>
      <c r="E25" t="s">
        <v>170</v>
      </c>
    </row>
    <row r="26" spans="1:5" x14ac:dyDescent="0.25">
      <c r="A26" t="s">
        <v>183</v>
      </c>
      <c r="B26" t="s">
        <v>178</v>
      </c>
      <c r="C26" t="s">
        <v>180</v>
      </c>
      <c r="D26" t="s">
        <v>88</v>
      </c>
      <c r="E26" t="s">
        <v>182</v>
      </c>
    </row>
    <row r="27" spans="1:5" x14ac:dyDescent="0.25">
      <c r="A27" t="s">
        <v>183</v>
      </c>
      <c r="B27" t="s">
        <v>96</v>
      </c>
      <c r="C27" t="s">
        <v>97</v>
      </c>
      <c r="D27" t="s">
        <v>87</v>
      </c>
      <c r="E27" t="s">
        <v>220</v>
      </c>
    </row>
    <row r="28" spans="1:5" x14ac:dyDescent="0.25">
      <c r="A28" t="s">
        <v>183</v>
      </c>
      <c r="B28" t="s">
        <v>153</v>
      </c>
      <c r="C28" t="s">
        <v>166</v>
      </c>
      <c r="D28" t="s">
        <v>121</v>
      </c>
      <c r="E28" t="s">
        <v>155</v>
      </c>
    </row>
    <row r="29" spans="1:5" x14ac:dyDescent="0.25">
      <c r="A29" t="s">
        <v>183</v>
      </c>
      <c r="B29" t="s">
        <v>226</v>
      </c>
      <c r="D29" t="s">
        <v>86</v>
      </c>
      <c r="E29" t="s">
        <v>227</v>
      </c>
    </row>
    <row r="30" spans="1:5" x14ac:dyDescent="0.25">
      <c r="A30" t="s">
        <v>183</v>
      </c>
      <c r="B30" t="s">
        <v>98</v>
      </c>
      <c r="C30" s="18" t="b">
        <v>1</v>
      </c>
      <c r="D30" t="s">
        <v>85</v>
      </c>
      <c r="E30" t="s">
        <v>99</v>
      </c>
    </row>
    <row r="31" spans="1:5" x14ac:dyDescent="0.25">
      <c r="A31" t="s">
        <v>183</v>
      </c>
      <c r="B31" t="s">
        <v>100</v>
      </c>
      <c r="C31" s="18" t="b">
        <v>1</v>
      </c>
      <c r="D31" t="s">
        <v>85</v>
      </c>
      <c r="E31" t="s">
        <v>101</v>
      </c>
    </row>
    <row r="32" spans="1:5" x14ac:dyDescent="0.25">
      <c r="A32" t="s">
        <v>183</v>
      </c>
      <c r="B32" t="s">
        <v>119</v>
      </c>
      <c r="C32" t="s">
        <v>122</v>
      </c>
      <c r="D32" t="s">
        <v>121</v>
      </c>
      <c r="E32" t="s">
        <v>120</v>
      </c>
    </row>
    <row r="33" spans="1:5" x14ac:dyDescent="0.25">
      <c r="A33" t="s">
        <v>183</v>
      </c>
      <c r="B33" t="s">
        <v>139</v>
      </c>
      <c r="C33" s="16" t="s">
        <v>140</v>
      </c>
      <c r="D33" s="16" t="s">
        <v>87</v>
      </c>
      <c r="E33" t="s">
        <v>219</v>
      </c>
    </row>
    <row r="34" spans="1:5" x14ac:dyDescent="0.25">
      <c r="A34" t="s">
        <v>183</v>
      </c>
      <c r="B34" t="s">
        <v>154</v>
      </c>
      <c r="D34" t="s">
        <v>121</v>
      </c>
      <c r="E34" t="s">
        <v>156</v>
      </c>
    </row>
    <row r="35" spans="1:5" ht="15.75" customHeight="1" x14ac:dyDescent="0.25">
      <c r="A35" t="s">
        <v>183</v>
      </c>
      <c r="B35" t="s">
        <v>172</v>
      </c>
      <c r="D35" t="s">
        <v>121</v>
      </c>
      <c r="E35" t="s">
        <v>175</v>
      </c>
    </row>
    <row r="36" spans="1:5" x14ac:dyDescent="0.25">
      <c r="A36" t="s">
        <v>183</v>
      </c>
      <c r="B36" t="s">
        <v>223</v>
      </c>
      <c r="D36" t="s">
        <v>121</v>
      </c>
      <c r="E36" t="s">
        <v>174</v>
      </c>
    </row>
    <row r="37" spans="1:5" x14ac:dyDescent="0.25">
      <c r="A37" t="s">
        <v>183</v>
      </c>
      <c r="B37" t="s">
        <v>184</v>
      </c>
      <c r="C37" t="s">
        <v>185</v>
      </c>
      <c r="D37" t="s">
        <v>87</v>
      </c>
      <c r="E37" t="s">
        <v>218</v>
      </c>
    </row>
    <row r="38" spans="1:5" x14ac:dyDescent="0.25">
      <c r="A38" t="s">
        <v>183</v>
      </c>
      <c r="B38" t="s">
        <v>194</v>
      </c>
      <c r="C38" t="s">
        <v>195</v>
      </c>
      <c r="D38" t="s">
        <v>87</v>
      </c>
      <c r="E38" t="s">
        <v>196</v>
      </c>
    </row>
    <row r="39" spans="1:5" x14ac:dyDescent="0.25">
      <c r="A39" t="s">
        <v>183</v>
      </c>
      <c r="B39" t="s">
        <v>197</v>
      </c>
      <c r="C39" s="18" t="b">
        <v>1</v>
      </c>
      <c r="D39" t="s">
        <v>85</v>
      </c>
      <c r="E39" t="s">
        <v>198</v>
      </c>
    </row>
    <row r="40" spans="1:5" x14ac:dyDescent="0.25">
      <c r="A40" t="s">
        <v>183</v>
      </c>
      <c r="B40" t="s">
        <v>209</v>
      </c>
      <c r="C40" s="18" t="b">
        <v>1</v>
      </c>
      <c r="D40" t="s">
        <v>85</v>
      </c>
      <c r="E40" t="s">
        <v>210</v>
      </c>
    </row>
    <row r="41" spans="1:5" x14ac:dyDescent="0.25">
      <c r="A41" t="s">
        <v>183</v>
      </c>
      <c r="B41" t="s">
        <v>211</v>
      </c>
      <c r="C41" t="s">
        <v>212</v>
      </c>
      <c r="D41" t="s">
        <v>87</v>
      </c>
      <c r="E41" t="s">
        <v>217</v>
      </c>
    </row>
    <row r="42" spans="1:5" x14ac:dyDescent="0.25">
      <c r="A42" t="s">
        <v>183</v>
      </c>
      <c r="B42" t="s">
        <v>213</v>
      </c>
      <c r="C42" t="s">
        <v>166</v>
      </c>
      <c r="D42" t="s">
        <v>121</v>
      </c>
      <c r="E42" t="s">
        <v>214</v>
      </c>
    </row>
    <row r="43" spans="1:5" x14ac:dyDescent="0.25">
      <c r="A43" t="s">
        <v>183</v>
      </c>
      <c r="B43" t="s">
        <v>215</v>
      </c>
      <c r="C43">
        <v>2</v>
      </c>
      <c r="D43" t="s">
        <v>86</v>
      </c>
      <c r="E43" t="s">
        <v>216</v>
      </c>
    </row>
    <row r="44" spans="1:5" x14ac:dyDescent="0.25">
      <c r="B44" t="s">
        <v>228</v>
      </c>
      <c r="C44">
        <v>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30:C31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9:C40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30:C31 C25 C39:C40" xr:uid="{79A7E31C-3284-4405-9B5F-03E099B07563}">
      <formula1>Boolean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topLeftCell="A1048540" zoomScaleNormal="100" workbookViewId="0">
      <selection activeCell="F8" sqref="F8"/>
    </sheetView>
  </sheetViews>
  <sheetFormatPr defaultRowHeight="15" x14ac:dyDescent="0.25"/>
  <cols>
    <col min="1" max="1" width="24.42578125" bestFit="1" customWidth="1"/>
    <col min="2" max="2" width="21" bestFit="1" customWidth="1"/>
    <col min="3" max="3" width="8.140625" bestFit="1" customWidth="1"/>
    <col min="4" max="4" width="23.28515625" bestFit="1" customWidth="1"/>
    <col min="5" max="5" width="14.7109375" bestFit="1" customWidth="1"/>
    <col min="6" max="6" width="8.42578125" bestFit="1" customWidth="1"/>
    <col min="7" max="7" width="11.5703125" bestFit="1" customWidth="1"/>
    <col min="8" max="8" width="22.5703125" bestFit="1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9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9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1" customFormat="1" ht="60" x14ac:dyDescent="0.25">
      <c r="A3" s="20" t="s">
        <v>167</v>
      </c>
      <c r="B3" s="21" t="s">
        <v>55</v>
      </c>
      <c r="C3" s="21" t="s">
        <v>150</v>
      </c>
      <c r="D3" s="21" t="s">
        <v>38</v>
      </c>
      <c r="E3" s="21" t="s">
        <v>151</v>
      </c>
      <c r="F3" s="21" t="s">
        <v>56</v>
      </c>
      <c r="G3" s="21" t="s">
        <v>81</v>
      </c>
      <c r="H3" s="21" t="s">
        <v>152</v>
      </c>
      <c r="I3" s="21" t="s">
        <v>19</v>
      </c>
      <c r="J3" s="5" t="s">
        <v>17</v>
      </c>
      <c r="K3" s="21" t="s">
        <v>18</v>
      </c>
      <c r="L3" s="21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173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173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disablePrompts="1"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disablePrompts="1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H91"/>
  <sheetViews>
    <sheetView zoomScaleNormal="100" workbookViewId="0"/>
  </sheetViews>
  <sheetFormatPr defaultRowHeight="15" x14ac:dyDescent="0.25"/>
  <cols>
    <col min="1" max="1" width="20.5703125" customWidth="1"/>
    <col min="2" max="2" width="24" customWidth="1"/>
    <col min="3" max="3" width="20.42578125" customWidth="1"/>
    <col min="4" max="4" width="9.42578125" customWidth="1"/>
    <col min="5" max="5" width="15.85546875" customWidth="1"/>
    <col min="6" max="6" width="12.85546875" customWidth="1"/>
    <col min="7" max="7" width="15.7109375" customWidth="1"/>
    <col min="8" max="8" width="42" customWidth="1"/>
  </cols>
  <sheetData>
    <row r="1" spans="1:8" x14ac:dyDescent="0.25">
      <c r="A1" s="19" t="s">
        <v>4</v>
      </c>
      <c r="B1" s="2" t="s">
        <v>5</v>
      </c>
      <c r="C1" s="2" t="s">
        <v>5</v>
      </c>
      <c r="D1" s="2" t="s">
        <v>7</v>
      </c>
      <c r="E1" s="2" t="s">
        <v>5</v>
      </c>
      <c r="F1" s="2" t="s">
        <v>6</v>
      </c>
      <c r="G1" s="2" t="s">
        <v>7</v>
      </c>
      <c r="H1" s="2" t="s">
        <v>5</v>
      </c>
    </row>
    <row r="2" spans="1:8" ht="15" customHeight="1" x14ac:dyDescent="0.25">
      <c r="A2" s="19" t="s">
        <v>8</v>
      </c>
      <c r="B2" s="2"/>
      <c r="C2" s="2"/>
      <c r="D2" s="2"/>
      <c r="E2" s="2" t="s">
        <v>22</v>
      </c>
      <c r="F2" s="2"/>
      <c r="G2" s="2" t="s">
        <v>163</v>
      </c>
      <c r="H2" s="2"/>
    </row>
    <row r="3" spans="1:8" ht="59.25" customHeight="1" x14ac:dyDescent="0.25">
      <c r="A3" s="20" t="s">
        <v>168</v>
      </c>
      <c r="B3" s="5" t="s">
        <v>103</v>
      </c>
      <c r="C3" s="5" t="s">
        <v>104</v>
      </c>
      <c r="D3" s="5" t="s">
        <v>54</v>
      </c>
      <c r="E3" s="5" t="s">
        <v>8</v>
      </c>
      <c r="F3" s="5" t="s">
        <v>23</v>
      </c>
      <c r="G3" s="7" t="s">
        <v>162</v>
      </c>
      <c r="H3" s="8" t="s">
        <v>10</v>
      </c>
    </row>
    <row r="4" spans="1:8" x14ac:dyDescent="0.25">
      <c r="A4" t="s">
        <v>40</v>
      </c>
      <c r="B4" s="3" t="s">
        <v>186</v>
      </c>
      <c r="C4" s="3" t="s">
        <v>36</v>
      </c>
      <c r="D4">
        <v>60</v>
      </c>
      <c r="E4" t="s">
        <v>39</v>
      </c>
      <c r="F4">
        <v>2021</v>
      </c>
      <c r="H4" s="9"/>
    </row>
    <row r="5" spans="1:8" x14ac:dyDescent="0.25">
      <c r="A5" t="s">
        <v>41</v>
      </c>
      <c r="B5" s="3" t="s">
        <v>36</v>
      </c>
      <c r="C5" s="3" t="s">
        <v>187</v>
      </c>
      <c r="D5">
        <v>100</v>
      </c>
      <c r="E5" t="s">
        <v>9</v>
      </c>
      <c r="F5">
        <v>2021</v>
      </c>
      <c r="H5" s="9"/>
    </row>
    <row r="6" spans="1:8" x14ac:dyDescent="0.25">
      <c r="A6" t="s">
        <v>42</v>
      </c>
      <c r="B6" s="3" t="s">
        <v>36</v>
      </c>
      <c r="C6" s="3" t="s">
        <v>37</v>
      </c>
      <c r="D6">
        <v>10</v>
      </c>
      <c r="E6" t="s">
        <v>39</v>
      </c>
      <c r="F6">
        <v>2021</v>
      </c>
      <c r="H6" s="9"/>
    </row>
    <row r="7" spans="1:8" x14ac:dyDescent="0.25">
      <c r="A7" t="s">
        <v>47</v>
      </c>
      <c r="B7" s="3" t="s">
        <v>187</v>
      </c>
      <c r="C7" s="3" t="s">
        <v>188</v>
      </c>
      <c r="D7">
        <v>60</v>
      </c>
      <c r="E7" t="s">
        <v>9</v>
      </c>
      <c r="F7">
        <v>2021</v>
      </c>
      <c r="G7">
        <v>0.22500000000000001</v>
      </c>
    </row>
    <row r="8" spans="1:8" ht="18.95" customHeight="1" x14ac:dyDescent="0.25">
      <c r="A8" t="s">
        <v>43</v>
      </c>
      <c r="B8" s="3" t="s">
        <v>187</v>
      </c>
      <c r="C8" s="3" t="s">
        <v>189</v>
      </c>
      <c r="D8">
        <v>40</v>
      </c>
      <c r="E8" t="s">
        <v>9</v>
      </c>
      <c r="F8">
        <v>2021</v>
      </c>
      <c r="G8">
        <v>0.22500000000000001</v>
      </c>
    </row>
    <row r="9" spans="1:8" x14ac:dyDescent="0.25">
      <c r="A9" t="s">
        <v>44</v>
      </c>
      <c r="B9" s="3" t="s">
        <v>188</v>
      </c>
      <c r="C9" s="3" t="s">
        <v>36</v>
      </c>
      <c r="D9">
        <v>40</v>
      </c>
      <c r="E9" t="s">
        <v>9</v>
      </c>
      <c r="F9">
        <v>2021</v>
      </c>
    </row>
    <row r="10" spans="1:8" ht="15.6" customHeight="1" x14ac:dyDescent="0.25">
      <c r="A10" t="s">
        <v>45</v>
      </c>
      <c r="B10" s="3" t="s">
        <v>188</v>
      </c>
      <c r="C10" s="3" t="s">
        <v>190</v>
      </c>
      <c r="D10">
        <v>60</v>
      </c>
      <c r="E10" t="s">
        <v>9</v>
      </c>
      <c r="F10">
        <v>2021</v>
      </c>
    </row>
    <row r="11" spans="1:8" x14ac:dyDescent="0.25">
      <c r="A11" t="s">
        <v>46</v>
      </c>
      <c r="B11" s="3" t="s">
        <v>189</v>
      </c>
      <c r="C11" s="3" t="s">
        <v>190</v>
      </c>
      <c r="D11">
        <v>100</v>
      </c>
      <c r="E11" t="s">
        <v>9</v>
      </c>
      <c r="F11">
        <v>2021</v>
      </c>
      <c r="H11" s="9"/>
    </row>
    <row r="12" spans="1:8" x14ac:dyDescent="0.25">
      <c r="A12" t="s">
        <v>48</v>
      </c>
      <c r="B12" s="3" t="s">
        <v>187</v>
      </c>
      <c r="C12" s="3" t="s">
        <v>191</v>
      </c>
      <c r="D12">
        <v>20</v>
      </c>
      <c r="E12" t="s">
        <v>39</v>
      </c>
      <c r="F12">
        <v>2021</v>
      </c>
      <c r="H12" s="9"/>
    </row>
    <row r="13" spans="1:8" x14ac:dyDescent="0.25">
      <c r="A13" t="s">
        <v>49</v>
      </c>
      <c r="B13" s="3" t="s">
        <v>192</v>
      </c>
      <c r="C13" s="3" t="s">
        <v>187</v>
      </c>
      <c r="D13">
        <v>10</v>
      </c>
      <c r="E13" t="s">
        <v>39</v>
      </c>
      <c r="F13">
        <v>2021</v>
      </c>
      <c r="H13" s="9"/>
    </row>
    <row r="14" spans="1:8" x14ac:dyDescent="0.25">
      <c r="B14" s="3"/>
      <c r="C14" s="3"/>
    </row>
    <row r="15" spans="1:8" x14ac:dyDescent="0.25">
      <c r="B15" s="3"/>
      <c r="C15" s="3"/>
    </row>
    <row r="16" spans="1:8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B47" s="3"/>
      <c r="C47" s="3"/>
    </row>
    <row r="48" spans="2:3" x14ac:dyDescent="0.25">
      <c r="B48" s="3"/>
      <c r="C48" s="3"/>
    </row>
    <row r="49" spans="2:3" x14ac:dyDescent="0.25">
      <c r="B49" s="3"/>
      <c r="C49" s="3"/>
    </row>
    <row r="50" spans="2:3" x14ac:dyDescent="0.25">
      <c r="B50" s="3"/>
      <c r="C50" s="3"/>
    </row>
    <row r="51" spans="2:3" x14ac:dyDescent="0.25">
      <c r="B51" s="3"/>
      <c r="C51" s="3"/>
    </row>
    <row r="52" spans="2:3" x14ac:dyDescent="0.25">
      <c r="B52" s="3"/>
      <c r="C52" s="3"/>
    </row>
    <row r="53" spans="2:3" x14ac:dyDescent="0.25">
      <c r="B53" s="3"/>
      <c r="C53" s="3"/>
    </row>
    <row r="54" spans="2:3" x14ac:dyDescent="0.25">
      <c r="B54" s="3"/>
      <c r="C54" s="3"/>
    </row>
    <row r="55" spans="2:3" x14ac:dyDescent="0.25">
      <c r="B55" s="3"/>
      <c r="C55" s="3"/>
    </row>
    <row r="56" spans="2:3" x14ac:dyDescent="0.25">
      <c r="B56" s="3"/>
      <c r="C56" s="3"/>
    </row>
    <row r="57" spans="2:3" x14ac:dyDescent="0.25">
      <c r="B57" s="3"/>
      <c r="C57" s="3"/>
    </row>
    <row r="58" spans="2:3" x14ac:dyDescent="0.25">
      <c r="B58" s="3"/>
      <c r="C58" s="3"/>
    </row>
    <row r="59" spans="2:3" x14ac:dyDescent="0.25">
      <c r="B59" s="3"/>
      <c r="C59" s="3"/>
    </row>
    <row r="60" spans="2:3" x14ac:dyDescent="0.25">
      <c r="B60" s="3"/>
      <c r="C60" s="3"/>
    </row>
    <row r="61" spans="2:3" x14ac:dyDescent="0.25">
      <c r="B61" s="3"/>
      <c r="C61" s="3"/>
    </row>
    <row r="62" spans="2:3" x14ac:dyDescent="0.25">
      <c r="B62" s="3"/>
      <c r="C62" s="3"/>
    </row>
    <row r="63" spans="2:3" x14ac:dyDescent="0.25">
      <c r="B63" s="3"/>
      <c r="C63" s="3"/>
    </row>
    <row r="64" spans="2:3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</sheetData>
  <autoFilter ref="A3:H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AEC29D-2905-49D6-A378-57F89A2CFFA2}">
          <x14:formula1>
            <xm:f>Processes!$D$4:$D$1048576</xm:f>
          </x14:formula1>
          <xm:sqref>B4:C13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" sqref="E3"/>
    </sheetView>
  </sheetViews>
  <sheetFormatPr defaultRowHeight="15" x14ac:dyDescent="0.25"/>
  <cols>
    <col min="1" max="1" width="37.85546875" customWidth="1"/>
    <col min="2" max="2" width="23.285156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9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199</v>
      </c>
      <c r="G1" s="2" t="s">
        <v>199</v>
      </c>
      <c r="H1" s="2" t="s">
        <v>199</v>
      </c>
      <c r="I1" s="2" t="s">
        <v>5</v>
      </c>
      <c r="J1" s="2" t="s">
        <v>5</v>
      </c>
    </row>
    <row r="2" spans="1:10" x14ac:dyDescent="0.25">
      <c r="A2" s="19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20" t="s">
        <v>200</v>
      </c>
      <c r="B3" s="5" t="s">
        <v>38</v>
      </c>
      <c r="C3" s="5" t="s">
        <v>56</v>
      </c>
      <c r="D3" s="5" t="s">
        <v>107</v>
      </c>
      <c r="E3" s="5" t="s">
        <v>108</v>
      </c>
      <c r="F3" s="5" t="s">
        <v>201</v>
      </c>
      <c r="G3" s="5" t="s">
        <v>202</v>
      </c>
      <c r="H3" s="5" t="s">
        <v>203</v>
      </c>
      <c r="I3" s="6" t="s">
        <v>204</v>
      </c>
      <c r="J3" s="5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3:F1048576" xr:uid="{EB58ED90-11CC-40D7-B560-63144E99B293}"/>
    <dataValidation allowBlank="1" showInputMessage="1" showErrorMessage="1" promptTitle="NOTE" prompt="Used only in the following stock distribution types:_x000a_- Weibull" sqref="G3:H1048576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2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I4:I1048576</xm:sqref>
        </x14:dataValidation>
        <x14:dataValidation type="list" allowBlank="1" showInputMessage="1" showErrorMessage="1" xr:uid="{C60080E3-0027-44EC-8134-4F98E88A9910}">
          <x14:formula1>
            <xm:f>Processes!$D$4:$D$12</xm:f>
          </x14:formula1>
          <xm:sqref>B5:B1048576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>
      <selection activeCell="D1" sqref="D1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s="5" t="s">
        <v>23</v>
      </c>
      <c r="B1" s="5" t="s">
        <v>38</v>
      </c>
      <c r="C1" s="5" t="s">
        <v>17</v>
      </c>
      <c r="D1" s="5" t="s">
        <v>18</v>
      </c>
    </row>
    <row r="2" spans="1:4" x14ac:dyDescent="0.25">
      <c r="A2">
        <v>2021</v>
      </c>
      <c r="B2" t="s">
        <v>186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187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188</v>
      </c>
      <c r="C6">
        <v>0.752</v>
      </c>
      <c r="D6">
        <v>0.44400000000000001</v>
      </c>
    </row>
    <row r="7" spans="1:4" x14ac:dyDescent="0.25">
      <c r="A7">
        <v>2021</v>
      </c>
      <c r="B7" t="s">
        <v>189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190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191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192</v>
      </c>
      <c r="C10">
        <v>0.24299999999999999</v>
      </c>
      <c r="D10">
        <v>0.9</v>
      </c>
    </row>
    <row r="11" spans="1:4" x14ac:dyDescent="0.25">
      <c r="A11">
        <v>2022</v>
      </c>
      <c r="B11" t="s">
        <v>186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187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188</v>
      </c>
      <c r="C15">
        <v>0.752</v>
      </c>
      <c r="D15">
        <v>0.44400000000000001</v>
      </c>
    </row>
    <row r="16" spans="1:4" x14ac:dyDescent="0.25">
      <c r="A16">
        <v>2022</v>
      </c>
      <c r="B16" t="s">
        <v>189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190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191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192</v>
      </c>
      <c r="C19">
        <v>0.24299999999999999</v>
      </c>
      <c r="D19">
        <v>0.9</v>
      </c>
    </row>
    <row r="20" spans="1:4" x14ac:dyDescent="0.25">
      <c r="A20">
        <v>2023</v>
      </c>
      <c r="B20" t="s">
        <v>186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187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188</v>
      </c>
      <c r="C24">
        <v>0.752</v>
      </c>
      <c r="D24">
        <v>0.44400000000000001</v>
      </c>
    </row>
    <row r="25" spans="1:4" x14ac:dyDescent="0.25">
      <c r="A25">
        <v>2023</v>
      </c>
      <c r="B25" t="s">
        <v>189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190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191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192</v>
      </c>
      <c r="C28">
        <v>0.24299999999999999</v>
      </c>
      <c r="D28">
        <v>0.9</v>
      </c>
    </row>
    <row r="29" spans="1:4" x14ac:dyDescent="0.25">
      <c r="A29">
        <v>2024</v>
      </c>
      <c r="B29" t="s">
        <v>186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187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188</v>
      </c>
      <c r="C33">
        <v>0.752</v>
      </c>
      <c r="D33">
        <v>0.44400000000000001</v>
      </c>
    </row>
    <row r="34" spans="1:4" x14ac:dyDescent="0.25">
      <c r="A34">
        <v>2024</v>
      </c>
      <c r="B34" t="s">
        <v>189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190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191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192</v>
      </c>
      <c r="C37">
        <v>0.24299999999999999</v>
      </c>
      <c r="D37">
        <v>0.9</v>
      </c>
    </row>
    <row r="38" spans="1:4" x14ac:dyDescent="0.25">
      <c r="A38">
        <v>2025</v>
      </c>
      <c r="B38" t="s">
        <v>186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187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188</v>
      </c>
      <c r="C42">
        <v>0.752</v>
      </c>
      <c r="D42">
        <v>0.44400000000000001</v>
      </c>
    </row>
    <row r="43" spans="1:4" x14ac:dyDescent="0.25">
      <c r="A43">
        <v>2025</v>
      </c>
      <c r="B43" t="s">
        <v>189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190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191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192</v>
      </c>
      <c r="C46">
        <v>0.24299999999999999</v>
      </c>
      <c r="D46">
        <v>0.9</v>
      </c>
    </row>
    <row r="47" spans="1:4" x14ac:dyDescent="0.25">
      <c r="A47">
        <v>2026</v>
      </c>
      <c r="B47" t="s">
        <v>186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187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188</v>
      </c>
      <c r="C51">
        <v>0.752</v>
      </c>
      <c r="D51">
        <v>0.44400000000000001</v>
      </c>
    </row>
    <row r="52" spans="1:4" x14ac:dyDescent="0.25">
      <c r="A52">
        <v>2026</v>
      </c>
      <c r="B52" t="s">
        <v>189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190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191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192</v>
      </c>
      <c r="C55">
        <v>0.24299999999999999</v>
      </c>
      <c r="D55">
        <v>0.9</v>
      </c>
    </row>
    <row r="56" spans="1:4" x14ac:dyDescent="0.25">
      <c r="A56">
        <v>2027</v>
      </c>
      <c r="B56" t="s">
        <v>186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187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188</v>
      </c>
      <c r="C60">
        <v>0.752</v>
      </c>
      <c r="D60">
        <v>0.44400000000000001</v>
      </c>
    </row>
    <row r="61" spans="1:4" x14ac:dyDescent="0.25">
      <c r="A61">
        <v>2027</v>
      </c>
      <c r="B61" t="s">
        <v>189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190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191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192</v>
      </c>
      <c r="C64">
        <v>0.24299999999999999</v>
      </c>
      <c r="D64">
        <v>0.9</v>
      </c>
    </row>
    <row r="65" spans="1:4" x14ac:dyDescent="0.25">
      <c r="A65">
        <v>2028</v>
      </c>
      <c r="B65" t="s">
        <v>186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187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188</v>
      </c>
      <c r="C69">
        <v>0.752</v>
      </c>
      <c r="D69">
        <v>0.44400000000000001</v>
      </c>
    </row>
    <row r="70" spans="1:4" x14ac:dyDescent="0.25">
      <c r="A70">
        <v>2028</v>
      </c>
      <c r="B70" t="s">
        <v>189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190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191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192</v>
      </c>
      <c r="C73">
        <v>0.24299999999999999</v>
      </c>
      <c r="D73">
        <v>0.9</v>
      </c>
    </row>
    <row r="74" spans="1:4" x14ac:dyDescent="0.25">
      <c r="A74">
        <v>2029</v>
      </c>
      <c r="B74" t="s">
        <v>186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187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188</v>
      </c>
      <c r="C78">
        <v>0.752</v>
      </c>
      <c r="D78">
        <v>0.44400000000000001</v>
      </c>
    </row>
    <row r="79" spans="1:4" x14ac:dyDescent="0.25">
      <c r="A79">
        <v>2029</v>
      </c>
      <c r="B79" t="s">
        <v>189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190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191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192</v>
      </c>
      <c r="C82">
        <v>0.24299999999999999</v>
      </c>
      <c r="D82">
        <v>0.9</v>
      </c>
    </row>
    <row r="83" spans="1:4" x14ac:dyDescent="0.25">
      <c r="A83">
        <v>2030</v>
      </c>
      <c r="B83" t="s">
        <v>186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187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188</v>
      </c>
      <c r="C87">
        <v>0.752</v>
      </c>
      <c r="D87">
        <v>0.44400000000000001</v>
      </c>
    </row>
    <row r="88" spans="1:4" x14ac:dyDescent="0.25">
      <c r="A88">
        <v>2030</v>
      </c>
      <c r="B88" t="s">
        <v>189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190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191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192</v>
      </c>
      <c r="C91">
        <v>0.24299999999999999</v>
      </c>
      <c r="D91">
        <v>0.9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2"/>
  <sheetViews>
    <sheetView workbookViewId="0">
      <selection activeCell="F12" sqref="F12"/>
    </sheetView>
  </sheetViews>
  <sheetFormatPr defaultRowHeight="15" x14ac:dyDescent="0.25"/>
  <cols>
    <col min="1" max="1" width="41.140625" bestFit="1" customWidth="1"/>
    <col min="2" max="2" width="32.85546875" bestFit="1" customWidth="1"/>
    <col min="3" max="3" width="16.5703125" bestFit="1" customWidth="1"/>
    <col min="4" max="4" width="16.140625" bestFit="1" customWidth="1"/>
    <col min="5" max="5" width="21.85546875" bestFit="1" customWidth="1"/>
    <col min="6" max="6" width="12.2851562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5.140625" bestFit="1" customWidth="1"/>
    <col min="12" max="13" width="52.42578125" bestFit="1" customWidth="1"/>
  </cols>
  <sheetData>
    <row r="1" spans="1:13" x14ac:dyDescent="0.25">
      <c r="A1" s="19"/>
      <c r="B1" s="22" t="s">
        <v>102</v>
      </c>
      <c r="C1" s="22" t="s">
        <v>103</v>
      </c>
      <c r="D1" s="22" t="s">
        <v>104</v>
      </c>
      <c r="E1" s="22" t="s">
        <v>105</v>
      </c>
      <c r="F1" s="22" t="s">
        <v>171</v>
      </c>
      <c r="G1" s="22" t="s">
        <v>106</v>
      </c>
      <c r="H1" s="22" t="s">
        <v>107</v>
      </c>
      <c r="I1" s="22" t="s">
        <v>108</v>
      </c>
      <c r="J1" s="22" t="s">
        <v>109</v>
      </c>
      <c r="K1" s="22" t="s">
        <v>193</v>
      </c>
      <c r="L1" s="22" t="s">
        <v>110</v>
      </c>
      <c r="M1" s="22" t="s">
        <v>110</v>
      </c>
    </row>
    <row r="2" spans="1:13" ht="30" x14ac:dyDescent="0.25">
      <c r="A2" s="20" t="s">
        <v>225</v>
      </c>
      <c r="B2" t="s">
        <v>164</v>
      </c>
      <c r="C2" s="3" t="s">
        <v>36</v>
      </c>
      <c r="D2" s="3" t="s">
        <v>37</v>
      </c>
      <c r="E2">
        <v>-50</v>
      </c>
      <c r="G2" t="s">
        <v>9</v>
      </c>
      <c r="H2">
        <v>2025</v>
      </c>
      <c r="I2">
        <v>2030</v>
      </c>
      <c r="J2" t="s">
        <v>116</v>
      </c>
      <c r="K2" s="18" t="b">
        <v>1</v>
      </c>
    </row>
  </sheetData>
  <conditionalFormatting sqref="K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I1:J2 I5:J1048576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 F1:F2 F5:F1048576</xm:sqref>
        </x14:dataValidation>
        <x14:dataValidation type="list" allowBlank="1" showInputMessage="1" showErrorMessage="1" xr:uid="{EE0A79EA-3499-4925-8C21-DDB578FC1E2B}">
          <x14:formula1>
            <xm:f>Processes!$D$4:$D$1048576</xm:f>
          </x14:formula1>
          <xm:sqref>C2:D1048576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A5" sqref="A5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5" t="s">
        <v>132</v>
      </c>
      <c r="B1" s="5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/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2" t="s">
        <v>81</v>
      </c>
      <c r="C5" s="12" t="s">
        <v>69</v>
      </c>
      <c r="D5" s="12" t="s">
        <v>90</v>
      </c>
      <c r="E5" s="12" t="s">
        <v>114</v>
      </c>
      <c r="F5" s="12" t="s">
        <v>109</v>
      </c>
      <c r="G5" s="12" t="s">
        <v>179</v>
      </c>
      <c r="H5" s="12" t="s">
        <v>205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180</v>
      </c>
      <c r="H6" t="s">
        <v>206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181</v>
      </c>
      <c r="H7" t="s">
        <v>207</v>
      </c>
    </row>
    <row r="8" spans="2:8" x14ac:dyDescent="0.25">
      <c r="B8" t="s">
        <v>51</v>
      </c>
      <c r="D8" t="s">
        <v>93</v>
      </c>
      <c r="F8" t="s">
        <v>117</v>
      </c>
      <c r="H8" t="s">
        <v>208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176</v>
      </c>
    </row>
    <row r="13" spans="2:8" x14ac:dyDescent="0.25">
      <c r="B13" t="s">
        <v>177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QUICK GUIDE</vt:lpstr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2026-09-24T11:38:26Z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